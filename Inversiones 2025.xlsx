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rsiones - Tabla Central" sheetId="1" r:id="rId5"/>
    <sheet state="visible" name="Calculos" sheetId="2" r:id="rId6"/>
  </sheets>
  <definedNames>
    <definedName hidden="1" localSheetId="0" name="_xlnm._FilterDatabase">'Inversiones - Tabla Central'!$A$1:$J$118</definedName>
  </definedNames>
  <calcPr/>
</workbook>
</file>

<file path=xl/sharedStrings.xml><?xml version="1.0" encoding="utf-8"?>
<sst xmlns="http://schemas.openxmlformats.org/spreadsheetml/2006/main" count="297" uniqueCount="29">
  <si>
    <t>Tipo de Operación</t>
  </si>
  <si>
    <t>Fecha</t>
  </si>
  <si>
    <t>Activo</t>
  </si>
  <si>
    <t>Cantidad</t>
  </si>
  <si>
    <t>Monto USD</t>
  </si>
  <si>
    <t>Monto COP</t>
  </si>
  <si>
    <t>Precio Unitario</t>
  </si>
  <si>
    <t>Costo de Cierre</t>
  </si>
  <si>
    <t>Ganancia/Pérdida USD</t>
  </si>
  <si>
    <t>Total</t>
  </si>
  <si>
    <t>Depósito</t>
  </si>
  <si>
    <t/>
  </si>
  <si>
    <t>Compra</t>
  </si>
  <si>
    <t>ACWI</t>
  </si>
  <si>
    <t>BTCUSD</t>
  </si>
  <si>
    <t>Venta</t>
  </si>
  <si>
    <t>NU</t>
  </si>
  <si>
    <t>Dividendo</t>
  </si>
  <si>
    <t>VOO</t>
  </si>
  <si>
    <t>NVDA</t>
  </si>
  <si>
    <t>GLD</t>
  </si>
  <si>
    <t>EEM</t>
  </si>
  <si>
    <t>VEU</t>
  </si>
  <si>
    <t>ETHUSD</t>
  </si>
  <si>
    <t>USD</t>
  </si>
  <si>
    <t>Cantidad Viva</t>
  </si>
  <si>
    <t>Costo Vivo</t>
  </si>
  <si>
    <t>Costo Promedio Vivo</t>
  </si>
  <si>
    <t>Ganancia Realizada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</si>
</sst>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yy"/>
    <numFmt numFmtId="165" formatCode="&quot;$&quot;#,##0.00"/>
    <numFmt numFmtId="166" formatCode="dd-mmm-yyyy h:mm"/>
    <numFmt numFmtId="167" formatCode="d-mmm-yyyy h: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Roboto"/>
    </font>
    <font>
      <sz val="12.0"/>
      <color theme="1"/>
      <name val="&quot;Noto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165" xfId="0" applyAlignment="1" applyFill="1" applyFont="1" applyNumberFormat="1">
      <alignment horizontal="righ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2" fontId="3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versiones - Tabla Centr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18" displayName="Inversiones" name="Inversiones" id="1">
  <autoFilter ref="$A$1:$J$118"/>
  <tableColumns count="10">
    <tableColumn name="Tipo de Operación" id="1"/>
    <tableColumn name="Fecha" id="2"/>
    <tableColumn name="Activo" id="3"/>
    <tableColumn name="Cantidad" id="4"/>
    <tableColumn name="Monto USD" id="5"/>
    <tableColumn name="Monto COP" id="6"/>
    <tableColumn name="Precio Unitario" id="7"/>
    <tableColumn name="Costo de Cierre" id="8"/>
    <tableColumn name="Ganancia/Pérdida USD" id="9"/>
    <tableColumn name="Total" id="10"/>
  </tableColumns>
  <tableStyleInfo name="Inversiones - Tabla Centr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13.25"/>
    <col customWidth="1" min="3" max="3" width="26.0"/>
    <col customWidth="1" min="4" max="4" width="15.38"/>
    <col customWidth="1" min="5" max="5" width="17.13"/>
    <col customWidth="1" min="6" max="6" width="14.0"/>
    <col customWidth="1" min="7" max="7" width="19.63"/>
    <col customWidth="1" min="8" max="8" width="20.13"/>
    <col customWidth="1" min="9" max="9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>
        <v>45610.0</v>
      </c>
      <c r="C2" s="4" t="s">
        <v>11</v>
      </c>
      <c r="D2" s="4" t="s">
        <v>11</v>
      </c>
      <c r="E2" s="4">
        <v>22.36</v>
      </c>
      <c r="F2" s="4">
        <v>111413.0</v>
      </c>
      <c r="G2" s="4"/>
      <c r="H2" s="4" t="s">
        <v>11</v>
      </c>
      <c r="I2" s="4"/>
      <c r="J2" s="4">
        <v>22.36</v>
      </c>
    </row>
    <row r="3" ht="22.5" customHeight="1">
      <c r="A3" s="2" t="s">
        <v>12</v>
      </c>
      <c r="B3" s="3">
        <v>45610.0</v>
      </c>
      <c r="C3" s="4" t="s">
        <v>13</v>
      </c>
      <c r="D3" s="4">
        <v>0.18274</v>
      </c>
      <c r="E3" s="4">
        <v>22.0</v>
      </c>
      <c r="F3" s="4" t="s">
        <v>11</v>
      </c>
      <c r="G3" s="5">
        <v>120.38</v>
      </c>
      <c r="H3" s="6">
        <v>0.15</v>
      </c>
      <c r="I3" s="4"/>
      <c r="J3" s="7">
        <v>22.15</v>
      </c>
    </row>
    <row r="4" ht="22.5" customHeight="1">
      <c r="A4" s="2" t="s">
        <v>10</v>
      </c>
      <c r="B4" s="3">
        <v>45610.0</v>
      </c>
      <c r="C4" s="4" t="s">
        <v>11</v>
      </c>
      <c r="D4" s="4" t="s">
        <v>11</v>
      </c>
      <c r="E4" s="4">
        <v>24.5</v>
      </c>
      <c r="F4" s="4">
        <v>121701.0</v>
      </c>
      <c r="G4" s="4"/>
      <c r="H4" s="8"/>
      <c r="I4" s="4" t="s">
        <v>11</v>
      </c>
      <c r="J4" s="4">
        <v>24.5</v>
      </c>
    </row>
    <row r="5" ht="22.5" customHeight="1">
      <c r="A5" s="2" t="s">
        <v>12</v>
      </c>
      <c r="B5" s="3">
        <v>45610.0</v>
      </c>
      <c r="C5" s="4" t="s">
        <v>14</v>
      </c>
      <c r="D5" s="4">
        <v>2.6791E-4</v>
      </c>
      <c r="E5" s="4">
        <v>24.0</v>
      </c>
      <c r="F5" s="4" t="s">
        <v>11</v>
      </c>
      <c r="G5" s="5">
        <v>89582.0</v>
      </c>
      <c r="H5" s="5">
        <v>0.24</v>
      </c>
      <c r="I5" s="4"/>
      <c r="J5" s="4">
        <v>24.24</v>
      </c>
    </row>
    <row r="6" ht="22.5" customHeight="1">
      <c r="A6" s="2" t="s">
        <v>10</v>
      </c>
      <c r="B6" s="3">
        <v>45617.0</v>
      </c>
      <c r="C6" s="4" t="s">
        <v>11</v>
      </c>
      <c r="D6" s="4" t="s">
        <v>11</v>
      </c>
      <c r="E6" s="4">
        <v>45.42</v>
      </c>
      <c r="F6" s="4">
        <v>213352.0</v>
      </c>
      <c r="G6" s="4"/>
      <c r="H6" s="4" t="s">
        <v>11</v>
      </c>
      <c r="I6" s="4" t="s">
        <v>11</v>
      </c>
      <c r="J6" s="4">
        <v>45.42</v>
      </c>
    </row>
    <row r="7" ht="22.5" customHeight="1">
      <c r="A7" s="2" t="s">
        <v>12</v>
      </c>
      <c r="B7" s="3">
        <v>45617.0</v>
      </c>
      <c r="C7" s="4" t="s">
        <v>13</v>
      </c>
      <c r="D7" s="4">
        <v>0.2079</v>
      </c>
      <c r="E7" s="4">
        <v>25.0</v>
      </c>
      <c r="F7" s="4" t="s">
        <v>11</v>
      </c>
      <c r="G7" s="5">
        <v>120.24</v>
      </c>
      <c r="H7" s="4">
        <v>0.15</v>
      </c>
      <c r="I7" s="4" t="s">
        <v>11</v>
      </c>
      <c r="J7" s="4">
        <v>25.15</v>
      </c>
    </row>
    <row r="8" ht="22.5" customHeight="1">
      <c r="A8" s="2" t="s">
        <v>12</v>
      </c>
      <c r="B8" s="3">
        <v>45617.0</v>
      </c>
      <c r="C8" s="4" t="s">
        <v>14</v>
      </c>
      <c r="D8" s="4">
        <v>2.086E-4</v>
      </c>
      <c r="E8" s="4">
        <v>20.53</v>
      </c>
      <c r="F8" s="4" t="s">
        <v>11</v>
      </c>
      <c r="G8" s="5">
        <v>98418.0</v>
      </c>
      <c r="H8" s="5">
        <v>0.21</v>
      </c>
      <c r="J8" s="4">
        <v>20.74</v>
      </c>
    </row>
    <row r="9" ht="22.5" customHeight="1">
      <c r="A9" s="2" t="s">
        <v>15</v>
      </c>
      <c r="B9" s="3">
        <v>45639.0</v>
      </c>
      <c r="C9" s="4" t="s">
        <v>14</v>
      </c>
      <c r="D9" s="4">
        <v>4.7651E-4</v>
      </c>
      <c r="E9" s="5">
        <v>48.71</v>
      </c>
      <c r="F9" s="4" t="s">
        <v>11</v>
      </c>
      <c r="G9" s="5">
        <v>102222.4</v>
      </c>
      <c r="H9" s="5">
        <v>0.49</v>
      </c>
      <c r="I9" s="4"/>
      <c r="J9" s="4">
        <v>48.22</v>
      </c>
    </row>
    <row r="10" ht="22.5" customHeight="1">
      <c r="A10" s="2" t="s">
        <v>12</v>
      </c>
      <c r="B10" s="3">
        <v>45644.0</v>
      </c>
      <c r="C10" s="4" t="s">
        <v>14</v>
      </c>
      <c r="D10" s="4">
        <v>4.6992E-4</v>
      </c>
      <c r="E10" s="4">
        <v>47.5</v>
      </c>
      <c r="F10" s="4" t="s">
        <v>11</v>
      </c>
      <c r="G10" s="5">
        <v>101081.04</v>
      </c>
      <c r="H10" s="5">
        <v>0.48</v>
      </c>
      <c r="J10" s="4">
        <v>47.98</v>
      </c>
    </row>
    <row r="11" ht="22.5" customHeight="1">
      <c r="A11" s="2" t="s">
        <v>10</v>
      </c>
      <c r="B11" s="3">
        <v>45646.0</v>
      </c>
      <c r="C11" s="4" t="s">
        <v>11</v>
      </c>
      <c r="D11" s="4" t="s">
        <v>11</v>
      </c>
      <c r="E11" s="4">
        <v>45.0</v>
      </c>
      <c r="F11" s="4">
        <v>210413.0</v>
      </c>
      <c r="G11" s="9"/>
      <c r="H11" s="4" t="s">
        <v>11</v>
      </c>
      <c r="I11" s="4" t="s">
        <v>11</v>
      </c>
      <c r="J11" s="4">
        <v>45.0</v>
      </c>
    </row>
    <row r="12" ht="22.5" customHeight="1">
      <c r="A12" s="2" t="s">
        <v>12</v>
      </c>
      <c r="B12" s="3">
        <v>45646.0</v>
      </c>
      <c r="C12" s="4" t="s">
        <v>16</v>
      </c>
      <c r="D12" s="4">
        <v>4.33108</v>
      </c>
      <c r="E12" s="4">
        <v>45.0</v>
      </c>
      <c r="F12" s="4" t="s">
        <v>11</v>
      </c>
      <c r="G12" s="4">
        <v>10.39</v>
      </c>
      <c r="H12" s="4">
        <v>0.15</v>
      </c>
      <c r="I12" s="4" t="s">
        <v>11</v>
      </c>
      <c r="J12" s="4">
        <v>45.15</v>
      </c>
    </row>
    <row r="13" ht="22.5" customHeight="1">
      <c r="A13" s="2" t="s">
        <v>17</v>
      </c>
      <c r="B13" s="3">
        <v>45649.0</v>
      </c>
      <c r="C13" s="4" t="s">
        <v>13</v>
      </c>
      <c r="D13" s="4" t="s">
        <v>11</v>
      </c>
      <c r="E13" s="4">
        <v>-0.13</v>
      </c>
      <c r="F13" s="4" t="s">
        <v>11</v>
      </c>
      <c r="G13" s="4" t="s">
        <v>11</v>
      </c>
      <c r="H13" s="4" t="s">
        <v>11</v>
      </c>
      <c r="I13" s="4"/>
      <c r="J13" s="4">
        <v>-0.13</v>
      </c>
    </row>
    <row r="14" ht="22.5" customHeight="1">
      <c r="A14" s="2" t="s">
        <v>17</v>
      </c>
      <c r="B14" s="3">
        <v>45649.0</v>
      </c>
      <c r="C14" s="4" t="s">
        <v>13</v>
      </c>
      <c r="D14" s="4" t="s">
        <v>11</v>
      </c>
      <c r="E14" s="4">
        <v>0.42</v>
      </c>
      <c r="F14" s="4" t="s">
        <v>11</v>
      </c>
      <c r="G14" s="4" t="s">
        <v>11</v>
      </c>
      <c r="H14" s="4" t="s">
        <v>11</v>
      </c>
      <c r="I14" s="4"/>
      <c r="J14" s="4">
        <v>0.42</v>
      </c>
    </row>
    <row r="15" ht="22.5" customHeight="1">
      <c r="A15" s="2" t="s">
        <v>10</v>
      </c>
      <c r="B15" s="3">
        <v>45678.0</v>
      </c>
      <c r="C15" s="4" t="s">
        <v>11</v>
      </c>
      <c r="D15" s="4" t="s">
        <v>11</v>
      </c>
      <c r="E15" s="4">
        <v>50.0</v>
      </c>
      <c r="F15" s="4">
        <v>228662.0</v>
      </c>
      <c r="G15" s="9"/>
      <c r="H15" s="4" t="s">
        <v>11</v>
      </c>
      <c r="I15" s="4" t="s">
        <v>11</v>
      </c>
      <c r="J15" s="4">
        <v>50.0</v>
      </c>
    </row>
    <row r="16" ht="22.5" customHeight="1">
      <c r="A16" s="2" t="s">
        <v>12</v>
      </c>
      <c r="B16" s="3">
        <v>45679.0</v>
      </c>
      <c r="C16" s="4" t="s">
        <v>14</v>
      </c>
      <c r="D16" s="4">
        <v>4.742E-5</v>
      </c>
      <c r="E16" s="4">
        <v>5.0</v>
      </c>
      <c r="F16" s="4" t="s">
        <v>11</v>
      </c>
      <c r="G16" s="5">
        <v>105440.74</v>
      </c>
      <c r="H16" s="5">
        <v>0.05</v>
      </c>
      <c r="J16" s="4">
        <v>5.05</v>
      </c>
    </row>
    <row r="17" ht="22.5" customHeight="1">
      <c r="A17" s="2" t="s">
        <v>12</v>
      </c>
      <c r="B17" s="3">
        <v>45680.0</v>
      </c>
      <c r="C17" s="4" t="s">
        <v>13</v>
      </c>
      <c r="D17" s="4">
        <v>0.24657</v>
      </c>
      <c r="E17" s="4">
        <v>30.0</v>
      </c>
      <c r="F17" s="4" t="s">
        <v>11</v>
      </c>
      <c r="G17" s="4">
        <v>121.67</v>
      </c>
      <c r="H17" s="4">
        <v>0.15</v>
      </c>
      <c r="I17" s="4" t="s">
        <v>11</v>
      </c>
      <c r="J17" s="4">
        <v>30.15</v>
      </c>
    </row>
    <row r="18" ht="22.5" customHeight="1">
      <c r="A18" s="2" t="s">
        <v>12</v>
      </c>
      <c r="B18" s="3">
        <v>45680.0</v>
      </c>
      <c r="C18" s="4" t="s">
        <v>18</v>
      </c>
      <c r="D18" s="4">
        <v>0.02685</v>
      </c>
      <c r="E18" s="4">
        <v>15.0</v>
      </c>
      <c r="F18" s="4" t="s">
        <v>11</v>
      </c>
      <c r="G18" s="4">
        <v>558.62</v>
      </c>
      <c r="H18" s="4">
        <v>0.15</v>
      </c>
      <c r="I18" s="4" t="s">
        <v>11</v>
      </c>
      <c r="J18" s="4">
        <v>15.15</v>
      </c>
    </row>
    <row r="19" ht="22.5" customHeight="1">
      <c r="A19" s="2" t="s">
        <v>15</v>
      </c>
      <c r="B19" s="3">
        <v>45687.0</v>
      </c>
      <c r="C19" s="4" t="s">
        <v>18</v>
      </c>
      <c r="D19" s="4">
        <v>0.02685</v>
      </c>
      <c r="E19" s="5">
        <v>14.9</v>
      </c>
      <c r="F19" s="4" t="s">
        <v>11</v>
      </c>
      <c r="G19" s="4">
        <v>554.79</v>
      </c>
      <c r="H19" s="5">
        <v>0.16</v>
      </c>
      <c r="J19" s="4">
        <v>14.74</v>
      </c>
    </row>
    <row r="20" ht="22.5" customHeight="1">
      <c r="A20" s="2" t="s">
        <v>12</v>
      </c>
      <c r="B20" s="3">
        <v>45688.0</v>
      </c>
      <c r="C20" s="4" t="s">
        <v>19</v>
      </c>
      <c r="D20" s="4">
        <v>0.10995</v>
      </c>
      <c r="E20" s="4">
        <v>14.0</v>
      </c>
      <c r="F20" s="4" t="s">
        <v>11</v>
      </c>
      <c r="G20" s="4">
        <v>127.32</v>
      </c>
      <c r="H20" s="4">
        <v>0.15</v>
      </c>
      <c r="I20" s="4" t="s">
        <v>11</v>
      </c>
      <c r="J20" s="4">
        <v>14.15</v>
      </c>
    </row>
    <row r="21" ht="22.5" customHeight="1">
      <c r="A21" s="2" t="s">
        <v>15</v>
      </c>
      <c r="B21" s="3">
        <v>45708.0</v>
      </c>
      <c r="C21" s="4" t="s">
        <v>16</v>
      </c>
      <c r="D21" s="4">
        <v>3.37</v>
      </c>
      <c r="E21" s="4" t="s">
        <v>11</v>
      </c>
      <c r="F21" s="4" t="s">
        <v>11</v>
      </c>
      <c r="G21" s="4">
        <v>13.38</v>
      </c>
      <c r="H21" s="5">
        <v>0.01</v>
      </c>
      <c r="I21" s="4"/>
      <c r="J21" s="4">
        <v>44.99</v>
      </c>
    </row>
    <row r="22" ht="22.5" customHeight="1">
      <c r="A22" s="2" t="s">
        <v>10</v>
      </c>
      <c r="B22" s="3">
        <v>45709.0</v>
      </c>
      <c r="C22" s="4" t="s">
        <v>11</v>
      </c>
      <c r="D22" s="4" t="s">
        <v>11</v>
      </c>
      <c r="E22" s="4">
        <v>50.0</v>
      </c>
      <c r="F22" s="4">
        <v>218172.0</v>
      </c>
      <c r="G22" s="4"/>
      <c r="H22" s="4" t="s">
        <v>11</v>
      </c>
      <c r="I22" s="4" t="s">
        <v>11</v>
      </c>
      <c r="J22" s="4">
        <v>50.0</v>
      </c>
    </row>
    <row r="23" ht="22.5" customHeight="1">
      <c r="A23" s="2" t="s">
        <v>12</v>
      </c>
      <c r="B23" s="3">
        <v>45709.0</v>
      </c>
      <c r="C23" s="4" t="s">
        <v>20</v>
      </c>
      <c r="D23" s="4">
        <v>0.0702</v>
      </c>
      <c r="E23" s="4">
        <v>19.0</v>
      </c>
      <c r="F23" s="4" t="s">
        <v>11</v>
      </c>
      <c r="G23" s="4">
        <v>270.64</v>
      </c>
      <c r="H23" s="4">
        <v>0.15</v>
      </c>
      <c r="I23" s="4" t="s">
        <v>11</v>
      </c>
      <c r="J23" s="4">
        <v>19.15</v>
      </c>
    </row>
    <row r="24" ht="22.5" customHeight="1">
      <c r="A24" s="2" t="s">
        <v>12</v>
      </c>
      <c r="B24" s="3">
        <v>45709.0</v>
      </c>
      <c r="C24" s="4" t="s">
        <v>21</v>
      </c>
      <c r="D24" s="4">
        <v>0.52866</v>
      </c>
      <c r="E24" s="4">
        <v>24.0</v>
      </c>
      <c r="F24" s="4" t="s">
        <v>11</v>
      </c>
      <c r="G24" s="4">
        <v>45.4</v>
      </c>
      <c r="H24" s="4">
        <v>0.15</v>
      </c>
      <c r="I24" s="4" t="s">
        <v>11</v>
      </c>
      <c r="J24" s="4">
        <v>24.15</v>
      </c>
    </row>
    <row r="25" ht="22.5" customHeight="1">
      <c r="A25" s="2" t="s">
        <v>12</v>
      </c>
      <c r="B25" s="3">
        <v>45709.0</v>
      </c>
      <c r="C25" s="4" t="s">
        <v>22</v>
      </c>
      <c r="D25" s="4">
        <v>0.61511</v>
      </c>
      <c r="E25" s="4">
        <v>38.0</v>
      </c>
      <c r="F25" s="4" t="s">
        <v>11</v>
      </c>
      <c r="G25" s="5">
        <v>61.77</v>
      </c>
      <c r="H25" s="4">
        <v>0.15</v>
      </c>
      <c r="I25" s="4" t="s">
        <v>11</v>
      </c>
      <c r="J25" s="4">
        <v>38.15</v>
      </c>
    </row>
    <row r="26" ht="22.5" customHeight="1">
      <c r="A26" s="2" t="s">
        <v>12</v>
      </c>
      <c r="B26" s="3">
        <v>45709.0</v>
      </c>
      <c r="C26" s="4" t="s">
        <v>23</v>
      </c>
      <c r="D26" s="4">
        <v>0.00353379</v>
      </c>
      <c r="E26" s="4">
        <v>9.98</v>
      </c>
      <c r="F26" s="4" t="s">
        <v>11</v>
      </c>
      <c r="G26" s="4">
        <v>2824.16</v>
      </c>
      <c r="H26" s="4">
        <v>0.1</v>
      </c>
      <c r="I26" s="4" t="s">
        <v>11</v>
      </c>
      <c r="J26" s="4">
        <v>10.8</v>
      </c>
    </row>
    <row r="27" ht="22.5" customHeight="1">
      <c r="A27" s="10" t="s">
        <v>10</v>
      </c>
      <c r="B27" s="11">
        <v>45740.0</v>
      </c>
      <c r="C27" s="12" t="s">
        <v>24</v>
      </c>
      <c r="D27" s="13"/>
      <c r="E27" s="13">
        <v>50.0</v>
      </c>
      <c r="F27" s="12"/>
      <c r="G27" s="13"/>
      <c r="H27" s="13"/>
      <c r="I27" s="12"/>
      <c r="J27" s="12">
        <v>50.0</v>
      </c>
    </row>
    <row r="28" ht="22.5" customHeight="1">
      <c r="A28" s="10" t="s">
        <v>17</v>
      </c>
      <c r="B28" s="11">
        <v>45742.0</v>
      </c>
      <c r="C28" s="12" t="s">
        <v>22</v>
      </c>
      <c r="D28" s="12"/>
      <c r="E28" s="12">
        <v>0.12</v>
      </c>
      <c r="F28" s="12"/>
      <c r="G28" s="12"/>
      <c r="H28" s="13">
        <v>0.04</v>
      </c>
      <c r="J28" s="12">
        <v>0.08</v>
      </c>
    </row>
    <row r="29" ht="22.5" customHeight="1">
      <c r="A29" s="10" t="s">
        <v>12</v>
      </c>
      <c r="B29" s="11">
        <v>45745.0</v>
      </c>
      <c r="C29" s="12" t="s">
        <v>23</v>
      </c>
      <c r="D29" s="12">
        <v>0.00431988</v>
      </c>
      <c r="E29" s="12">
        <v>8.0</v>
      </c>
      <c r="F29" s="12"/>
      <c r="G29" s="12">
        <v>1851.9</v>
      </c>
      <c r="H29" s="12">
        <v>0.08</v>
      </c>
      <c r="I29" s="12"/>
      <c r="J29" s="12">
        <v>8.08</v>
      </c>
    </row>
    <row r="30" ht="22.5" customHeight="1">
      <c r="A30" s="10" t="s">
        <v>12</v>
      </c>
      <c r="B30" s="11">
        <v>45745.0</v>
      </c>
      <c r="C30" s="12" t="s">
        <v>14</v>
      </c>
      <c r="D30" s="12">
        <v>7.264E-5</v>
      </c>
      <c r="E30" s="12">
        <v>6.0</v>
      </c>
      <c r="F30" s="12"/>
      <c r="G30" s="12">
        <v>82599.11</v>
      </c>
      <c r="H30" s="12">
        <v>0.06</v>
      </c>
      <c r="I30" s="12"/>
      <c r="J30" s="12">
        <v>6.06</v>
      </c>
    </row>
    <row r="31" ht="22.5" customHeight="1">
      <c r="A31" s="10" t="s">
        <v>12</v>
      </c>
      <c r="B31" s="11">
        <v>45750.0</v>
      </c>
      <c r="C31" s="12" t="s">
        <v>20</v>
      </c>
      <c r="D31" s="13">
        <v>0.0279</v>
      </c>
      <c r="E31" s="13">
        <v>8.0</v>
      </c>
      <c r="F31" s="12"/>
      <c r="G31" s="13">
        <v>286.7</v>
      </c>
      <c r="H31" s="13">
        <v>0.15</v>
      </c>
      <c r="I31" s="12"/>
      <c r="J31" s="12">
        <v>8.15</v>
      </c>
    </row>
    <row r="32" ht="22.5" customHeight="1">
      <c r="A32" s="10" t="s">
        <v>12</v>
      </c>
      <c r="B32" s="11">
        <v>45754.0</v>
      </c>
      <c r="C32" s="12" t="s">
        <v>22</v>
      </c>
      <c r="D32" s="13">
        <v>0.25604</v>
      </c>
      <c r="E32" s="13">
        <v>14.0</v>
      </c>
      <c r="F32" s="12"/>
      <c r="G32" s="13">
        <v>54.67</v>
      </c>
      <c r="H32" s="13">
        <v>0.15</v>
      </c>
      <c r="I32" s="12"/>
      <c r="J32" s="12">
        <v>14.15</v>
      </c>
    </row>
    <row r="33" ht="22.5" customHeight="1">
      <c r="A33" s="10" t="s">
        <v>12</v>
      </c>
      <c r="B33" s="11">
        <v>45754.0</v>
      </c>
      <c r="C33" s="12" t="s">
        <v>21</v>
      </c>
      <c r="D33" s="13">
        <v>0.30755</v>
      </c>
      <c r="E33" s="13">
        <v>12.0</v>
      </c>
      <c r="F33" s="12"/>
      <c r="G33" s="13">
        <v>39.01</v>
      </c>
      <c r="H33" s="13">
        <v>0.15</v>
      </c>
      <c r="I33" s="12"/>
      <c r="J33" s="12">
        <v>12.15</v>
      </c>
    </row>
    <row r="34" ht="22.5" customHeight="1">
      <c r="A34" s="10" t="s">
        <v>12</v>
      </c>
      <c r="B34" s="11">
        <v>45754.0</v>
      </c>
      <c r="C34" s="12" t="s">
        <v>19</v>
      </c>
      <c r="D34" s="13">
        <v>0.0514</v>
      </c>
      <c r="E34" s="13">
        <v>5.0</v>
      </c>
      <c r="F34" s="12"/>
      <c r="G34" s="13">
        <v>97.26</v>
      </c>
      <c r="H34" s="13">
        <v>0.15</v>
      </c>
      <c r="I34" s="12"/>
      <c r="J34" s="12">
        <v>5.15</v>
      </c>
    </row>
    <row r="35" ht="22.5" customHeight="1">
      <c r="A35" s="10" t="s">
        <v>10</v>
      </c>
      <c r="B35" s="11">
        <v>45769.0</v>
      </c>
      <c r="C35" s="12" t="s">
        <v>24</v>
      </c>
      <c r="D35" s="13"/>
      <c r="E35" s="13">
        <v>50.0</v>
      </c>
      <c r="F35" s="12">
        <v>225613.0</v>
      </c>
      <c r="G35" s="13"/>
      <c r="H35" s="13"/>
      <c r="I35" s="12"/>
      <c r="J35" s="12">
        <v>50.0</v>
      </c>
    </row>
    <row r="36" ht="22.5" customHeight="1">
      <c r="A36" s="10" t="s">
        <v>12</v>
      </c>
      <c r="B36" s="11">
        <v>45770.0</v>
      </c>
      <c r="C36" s="12" t="s">
        <v>13</v>
      </c>
      <c r="D36" s="13">
        <v>0.10431</v>
      </c>
      <c r="E36" s="13">
        <v>12.0</v>
      </c>
      <c r="F36" s="12"/>
      <c r="G36" s="13">
        <v>115.03</v>
      </c>
      <c r="H36" s="13">
        <v>0.15</v>
      </c>
      <c r="I36" s="12"/>
      <c r="J36" s="12">
        <v>12.15</v>
      </c>
    </row>
    <row r="37" ht="22.5" customHeight="1">
      <c r="A37" s="10" t="s">
        <v>12</v>
      </c>
      <c r="B37" s="11">
        <v>45770.0</v>
      </c>
      <c r="C37" s="12" t="s">
        <v>20</v>
      </c>
      <c r="D37" s="13">
        <v>0.03292</v>
      </c>
      <c r="E37" s="13">
        <v>10.0</v>
      </c>
      <c r="F37" s="12"/>
      <c r="G37" s="13">
        <v>303.68</v>
      </c>
      <c r="H37" s="13">
        <v>0.15</v>
      </c>
      <c r="I37" s="12"/>
      <c r="J37" s="12">
        <v>10.15</v>
      </c>
    </row>
    <row r="38" ht="22.5" customHeight="1">
      <c r="A38" s="10" t="s">
        <v>12</v>
      </c>
      <c r="B38" s="11">
        <v>45770.0</v>
      </c>
      <c r="C38" s="12" t="s">
        <v>19</v>
      </c>
      <c r="D38" s="13">
        <v>0.04814</v>
      </c>
      <c r="E38" s="13">
        <v>5.0</v>
      </c>
      <c r="F38" s="12"/>
      <c r="G38" s="13">
        <v>103.84</v>
      </c>
      <c r="H38" s="13">
        <v>0.15</v>
      </c>
      <c r="I38" s="12"/>
      <c r="J38" s="12">
        <v>5.15</v>
      </c>
    </row>
    <row r="39" ht="22.5" customHeight="1">
      <c r="A39" s="10" t="s">
        <v>12</v>
      </c>
      <c r="B39" s="11">
        <v>45770.0</v>
      </c>
      <c r="C39" s="12" t="s">
        <v>22</v>
      </c>
      <c r="D39" s="13">
        <v>0.08134</v>
      </c>
      <c r="E39" s="13">
        <v>5.0</v>
      </c>
      <c r="F39" s="12"/>
      <c r="G39" s="13">
        <v>61.46</v>
      </c>
      <c r="H39" s="13">
        <v>0.15</v>
      </c>
      <c r="I39" s="12"/>
      <c r="J39" s="12">
        <v>5.15</v>
      </c>
    </row>
    <row r="40" ht="22.5" customHeight="1">
      <c r="A40" s="10" t="s">
        <v>12</v>
      </c>
      <c r="B40" s="11">
        <v>45770.0</v>
      </c>
      <c r="C40" s="12" t="s">
        <v>16</v>
      </c>
      <c r="D40" s="13">
        <v>0.43177</v>
      </c>
      <c r="E40" s="13">
        <v>5.0</v>
      </c>
      <c r="F40" s="12"/>
      <c r="G40" s="13">
        <v>11.58</v>
      </c>
      <c r="H40" s="13">
        <v>0.15</v>
      </c>
      <c r="I40" s="12"/>
      <c r="J40" s="12">
        <v>5.15</v>
      </c>
    </row>
    <row r="41" ht="22.5" customHeight="1">
      <c r="A41" s="10" t="s">
        <v>12</v>
      </c>
      <c r="B41" s="11">
        <v>45784.0</v>
      </c>
      <c r="C41" s="12" t="s">
        <v>21</v>
      </c>
      <c r="D41" s="13">
        <v>0.17609</v>
      </c>
      <c r="E41" s="13">
        <v>7.85</v>
      </c>
      <c r="F41" s="12"/>
      <c r="G41" s="13">
        <v>44.57</v>
      </c>
      <c r="H41" s="13">
        <v>0.15</v>
      </c>
      <c r="I41" s="12"/>
      <c r="J41" s="12">
        <v>8.0</v>
      </c>
    </row>
    <row r="42" ht="22.5" customHeight="1">
      <c r="A42" s="10" t="s">
        <v>10</v>
      </c>
      <c r="B42" s="11">
        <v>45799.0</v>
      </c>
      <c r="C42" s="12" t="s">
        <v>24</v>
      </c>
      <c r="D42" s="13"/>
      <c r="E42" s="13">
        <v>50.0</v>
      </c>
      <c r="F42" s="12"/>
      <c r="G42" s="13"/>
      <c r="H42" s="13"/>
      <c r="I42" s="12"/>
      <c r="J42" s="12">
        <v>50.0</v>
      </c>
    </row>
    <row r="43" ht="22.5" customHeight="1">
      <c r="A43" s="10" t="s">
        <v>12</v>
      </c>
      <c r="B43" s="11">
        <v>45800.0</v>
      </c>
      <c r="C43" s="12" t="s">
        <v>13</v>
      </c>
      <c r="D43" s="13">
        <v>0.10205</v>
      </c>
      <c r="E43" s="13">
        <v>12.5</v>
      </c>
      <c r="F43" s="12"/>
      <c r="G43" s="13">
        <v>122.47</v>
      </c>
      <c r="H43" s="13">
        <v>0.15</v>
      </c>
      <c r="I43" s="12"/>
      <c r="J43" s="12">
        <v>12.65</v>
      </c>
    </row>
    <row r="44" ht="22.5" customHeight="1">
      <c r="A44" s="10" t="s">
        <v>12</v>
      </c>
      <c r="B44" s="11">
        <v>45800.0</v>
      </c>
      <c r="C44" s="12" t="s">
        <v>20</v>
      </c>
      <c r="D44" s="13">
        <v>0.02418</v>
      </c>
      <c r="E44" s="13">
        <v>7.5</v>
      </c>
      <c r="F44" s="12"/>
      <c r="G44" s="13">
        <v>310.11</v>
      </c>
      <c r="H44" s="13">
        <v>0.15</v>
      </c>
      <c r="I44" s="12"/>
      <c r="J44" s="12">
        <v>7.65</v>
      </c>
    </row>
    <row r="45" ht="22.5" customHeight="1">
      <c r="A45" s="10" t="s">
        <v>12</v>
      </c>
      <c r="B45" s="11">
        <v>45800.0</v>
      </c>
      <c r="C45" s="12" t="s">
        <v>21</v>
      </c>
      <c r="D45" s="13">
        <v>0.10813</v>
      </c>
      <c r="E45" s="13">
        <v>5.0</v>
      </c>
      <c r="F45" s="12"/>
      <c r="G45" s="13">
        <v>46.23</v>
      </c>
      <c r="H45" s="13">
        <v>0.15</v>
      </c>
      <c r="I45" s="12"/>
      <c r="J45" s="12">
        <v>5.15</v>
      </c>
    </row>
    <row r="46" ht="22.5" customHeight="1">
      <c r="A46" s="10" t="s">
        <v>12</v>
      </c>
      <c r="B46" s="11">
        <v>45800.0</v>
      </c>
      <c r="C46" s="12" t="s">
        <v>16</v>
      </c>
      <c r="D46" s="13">
        <v>0.4171</v>
      </c>
      <c r="E46" s="13">
        <v>5.0</v>
      </c>
      <c r="F46" s="12"/>
      <c r="G46" s="13">
        <v>11.98</v>
      </c>
      <c r="H46" s="13">
        <v>0.15</v>
      </c>
      <c r="I46" s="12"/>
      <c r="J46" s="12">
        <v>5.15</v>
      </c>
    </row>
    <row r="47" ht="22.5" customHeight="1">
      <c r="A47" s="10" t="s">
        <v>12</v>
      </c>
      <c r="B47" s="11">
        <v>45800.0</v>
      </c>
      <c r="C47" s="12" t="s">
        <v>19</v>
      </c>
      <c r="D47" s="13">
        <v>0.03798</v>
      </c>
      <c r="E47" s="13">
        <v>5.0</v>
      </c>
      <c r="F47" s="12"/>
      <c r="G47" s="13">
        <v>131.63</v>
      </c>
      <c r="H47" s="13">
        <v>0.15</v>
      </c>
      <c r="I47" s="12"/>
      <c r="J47" s="12">
        <v>5.15</v>
      </c>
    </row>
    <row r="48" ht="22.5" customHeight="1">
      <c r="A48" s="10" t="s">
        <v>17</v>
      </c>
      <c r="B48" s="11">
        <v>45831.0</v>
      </c>
      <c r="C48" s="12" t="s">
        <v>13</v>
      </c>
      <c r="D48" s="13"/>
      <c r="E48" s="13">
        <v>0.81</v>
      </c>
      <c r="F48" s="12"/>
      <c r="G48" s="13"/>
      <c r="H48" s="13">
        <v>0.24</v>
      </c>
      <c r="J48" s="12">
        <v>0.57</v>
      </c>
    </row>
    <row r="49" ht="22.5" customHeight="1">
      <c r="A49" s="10" t="s">
        <v>17</v>
      </c>
      <c r="B49" s="11">
        <v>45831.0</v>
      </c>
      <c r="C49" s="12" t="s">
        <v>21</v>
      </c>
      <c r="D49" s="13"/>
      <c r="E49" s="13">
        <v>0.51</v>
      </c>
      <c r="F49" s="12"/>
      <c r="G49" s="13"/>
      <c r="H49" s="13">
        <v>0.15</v>
      </c>
      <c r="J49" s="12">
        <v>0.36</v>
      </c>
    </row>
    <row r="50" ht="22.5" customHeight="1">
      <c r="A50" s="10" t="s">
        <v>17</v>
      </c>
      <c r="B50" s="11">
        <v>45833.0</v>
      </c>
      <c r="C50" s="12" t="s">
        <v>22</v>
      </c>
      <c r="D50" s="13"/>
      <c r="E50" s="13">
        <v>0.45</v>
      </c>
      <c r="F50" s="12"/>
      <c r="G50" s="13"/>
      <c r="H50" s="13">
        <v>0.14</v>
      </c>
      <c r="J50" s="12">
        <v>0.31</v>
      </c>
    </row>
    <row r="51" ht="22.5" customHeight="1">
      <c r="A51" s="10" t="s">
        <v>10</v>
      </c>
      <c r="B51" s="11">
        <v>45834.0</v>
      </c>
      <c r="C51" s="12" t="s">
        <v>24</v>
      </c>
      <c r="D51" s="13"/>
      <c r="E51" s="13">
        <v>50.0</v>
      </c>
      <c r="F51" s="12">
        <v>219075.0</v>
      </c>
      <c r="G51" s="13"/>
      <c r="H51" s="13"/>
      <c r="I51" s="12"/>
      <c r="J51" s="12">
        <v>50.0</v>
      </c>
    </row>
    <row r="52" ht="22.5" customHeight="1">
      <c r="A52" s="10" t="s">
        <v>12</v>
      </c>
      <c r="B52" s="11">
        <v>45834.0</v>
      </c>
      <c r="C52" s="12" t="s">
        <v>14</v>
      </c>
      <c r="D52" s="13">
        <v>1.1668E-4</v>
      </c>
      <c r="E52" s="13">
        <v>12.5</v>
      </c>
      <c r="F52" s="12"/>
      <c r="G52" s="13">
        <v>107130.61</v>
      </c>
      <c r="H52" s="13">
        <v>0.12</v>
      </c>
      <c r="I52" s="12"/>
      <c r="J52" s="12">
        <v>12.62</v>
      </c>
    </row>
    <row r="53" ht="22.5" customHeight="1">
      <c r="A53" s="10" t="s">
        <v>12</v>
      </c>
      <c r="B53" s="11">
        <v>45834.0</v>
      </c>
      <c r="C53" s="12" t="s">
        <v>23</v>
      </c>
      <c r="D53" s="13">
        <v>0.00409717</v>
      </c>
      <c r="E53" s="13">
        <v>10.0</v>
      </c>
      <c r="F53" s="12"/>
      <c r="G53" s="13">
        <v>2440.7</v>
      </c>
      <c r="H53" s="13">
        <v>0.1</v>
      </c>
      <c r="I53" s="12"/>
      <c r="J53" s="12">
        <v>10.1</v>
      </c>
    </row>
    <row r="54" ht="22.5" customHeight="1">
      <c r="A54" s="10" t="s">
        <v>12</v>
      </c>
      <c r="B54" s="11">
        <v>45834.0</v>
      </c>
      <c r="C54" s="12" t="s">
        <v>20</v>
      </c>
      <c r="D54" s="13">
        <v>0.01639</v>
      </c>
      <c r="E54" s="13">
        <v>5.0</v>
      </c>
      <c r="F54" s="12"/>
      <c r="G54" s="13">
        <v>305.0</v>
      </c>
      <c r="H54" s="13">
        <v>0.15</v>
      </c>
      <c r="I54" s="12"/>
      <c r="J54" s="12">
        <v>5.15</v>
      </c>
    </row>
    <row r="55" ht="22.5" customHeight="1">
      <c r="A55" s="10" t="s">
        <v>12</v>
      </c>
      <c r="B55" s="11">
        <v>45834.0</v>
      </c>
      <c r="C55" s="12" t="s">
        <v>13</v>
      </c>
      <c r="D55" s="13">
        <v>0.05907</v>
      </c>
      <c r="E55" s="13">
        <v>7.5</v>
      </c>
      <c r="F55" s="12"/>
      <c r="G55" s="13">
        <v>126.96</v>
      </c>
      <c r="H55" s="13">
        <v>0.15</v>
      </c>
      <c r="I55" s="12"/>
      <c r="J55" s="12">
        <v>7.65</v>
      </c>
    </row>
    <row r="56" ht="22.5" customHeight="1">
      <c r="A56" s="10" t="s">
        <v>12</v>
      </c>
      <c r="B56" s="11">
        <v>45834.0</v>
      </c>
      <c r="C56" s="12" t="s">
        <v>21</v>
      </c>
      <c r="D56" s="13">
        <v>0.10391</v>
      </c>
      <c r="E56" s="13">
        <v>5.0</v>
      </c>
      <c r="F56" s="12"/>
      <c r="G56" s="13">
        <v>48.11</v>
      </c>
      <c r="H56" s="13">
        <v>0.15</v>
      </c>
      <c r="I56" s="12"/>
      <c r="J56" s="12">
        <v>5.15</v>
      </c>
    </row>
    <row r="57" ht="22.5" customHeight="1">
      <c r="A57" s="10" t="s">
        <v>12</v>
      </c>
      <c r="B57" s="11">
        <v>45834.0</v>
      </c>
      <c r="C57" s="12" t="s">
        <v>22</v>
      </c>
      <c r="D57" s="13">
        <v>0.07514</v>
      </c>
      <c r="E57" s="13">
        <v>5.0</v>
      </c>
      <c r="F57" s="12"/>
      <c r="G57" s="13">
        <v>66.54</v>
      </c>
      <c r="H57" s="13">
        <v>0.15</v>
      </c>
      <c r="I57" s="12"/>
      <c r="J57" s="12">
        <v>5.15</v>
      </c>
    </row>
    <row r="58" ht="22.5" customHeight="1">
      <c r="A58" s="10" t="s">
        <v>12</v>
      </c>
      <c r="B58" s="11">
        <v>45834.0</v>
      </c>
      <c r="C58" s="12" t="s">
        <v>19</v>
      </c>
      <c r="D58" s="13">
        <v>0.0323</v>
      </c>
      <c r="E58" s="13">
        <v>5.0</v>
      </c>
      <c r="F58" s="12"/>
      <c r="G58" s="13">
        <v>154.76</v>
      </c>
      <c r="H58" s="13">
        <v>0.15</v>
      </c>
      <c r="I58" s="12"/>
      <c r="J58" s="12">
        <v>5.15</v>
      </c>
    </row>
    <row r="59" ht="22.5" customHeight="1">
      <c r="A59" s="10" t="s">
        <v>12</v>
      </c>
      <c r="B59" s="11">
        <v>45834.0</v>
      </c>
      <c r="C59" s="12" t="s">
        <v>16</v>
      </c>
      <c r="D59" s="13">
        <v>0.37439</v>
      </c>
      <c r="E59" s="13">
        <v>5.0</v>
      </c>
      <c r="F59" s="12"/>
      <c r="G59" s="13">
        <v>13.35</v>
      </c>
      <c r="H59" s="13">
        <v>0.15</v>
      </c>
      <c r="I59" s="12"/>
      <c r="J59" s="12">
        <v>5.15</v>
      </c>
    </row>
    <row r="60" ht="22.5" customHeight="1">
      <c r="A60" s="10" t="s">
        <v>10</v>
      </c>
      <c r="B60" s="11">
        <v>45861.0</v>
      </c>
      <c r="C60" s="12" t="s">
        <v>24</v>
      </c>
      <c r="D60" s="13"/>
      <c r="E60" s="13">
        <v>50.0</v>
      </c>
      <c r="F60" s="12">
        <v>219452.0</v>
      </c>
      <c r="G60" s="13"/>
      <c r="H60" s="13"/>
      <c r="I60" s="12"/>
      <c r="J60" s="12">
        <v>50.0</v>
      </c>
    </row>
    <row r="61" ht="22.5" customHeight="1">
      <c r="A61" s="10" t="s">
        <v>12</v>
      </c>
      <c r="B61" s="11">
        <v>45861.0</v>
      </c>
      <c r="C61" s="12" t="s">
        <v>14</v>
      </c>
      <c r="D61" s="13">
        <v>8.44E-5</v>
      </c>
      <c r="E61" s="13">
        <v>10.0</v>
      </c>
      <c r="F61" s="12"/>
      <c r="G61" s="13">
        <v>118483.41</v>
      </c>
      <c r="H61" s="13">
        <v>0.1</v>
      </c>
      <c r="I61" s="12"/>
      <c r="J61" s="12">
        <v>10.1</v>
      </c>
    </row>
    <row r="62" ht="22.5" customHeight="1">
      <c r="A62" s="10" t="s">
        <v>12</v>
      </c>
      <c r="B62" s="11">
        <v>45861.0</v>
      </c>
      <c r="C62" s="12" t="s">
        <v>23</v>
      </c>
      <c r="D62" s="13">
        <v>0.00138613</v>
      </c>
      <c r="E62" s="13">
        <v>5.0</v>
      </c>
      <c r="F62" s="12"/>
      <c r="G62" s="13">
        <v>3607.16</v>
      </c>
      <c r="H62" s="13">
        <v>0.05</v>
      </c>
      <c r="I62" s="12"/>
      <c r="J62" s="12">
        <v>5.05</v>
      </c>
    </row>
    <row r="63" ht="22.5" customHeight="1">
      <c r="A63" s="10" t="s">
        <v>12</v>
      </c>
      <c r="B63" s="11">
        <v>45861.0</v>
      </c>
      <c r="C63" s="12" t="s">
        <v>20</v>
      </c>
      <c r="D63" s="13">
        <v>0.03199</v>
      </c>
      <c r="E63" s="13">
        <v>10.0</v>
      </c>
      <c r="F63" s="12"/>
      <c r="G63" s="13">
        <v>312.54</v>
      </c>
      <c r="H63" s="13">
        <v>0.15</v>
      </c>
      <c r="I63" s="12"/>
      <c r="J63" s="12">
        <v>10.15</v>
      </c>
    </row>
    <row r="64" ht="22.5" customHeight="1">
      <c r="A64" s="10" t="s">
        <v>12</v>
      </c>
      <c r="B64" s="11">
        <v>45861.0</v>
      </c>
      <c r="C64" s="12" t="s">
        <v>22</v>
      </c>
      <c r="D64" s="13">
        <v>0.21707</v>
      </c>
      <c r="E64" s="13">
        <v>15.0</v>
      </c>
      <c r="F64" s="12"/>
      <c r="G64" s="13">
        <v>69.1</v>
      </c>
      <c r="H64" s="13">
        <v>0.15</v>
      </c>
      <c r="I64" s="12"/>
      <c r="J64" s="12">
        <v>15.15</v>
      </c>
    </row>
    <row r="65" ht="22.5" customHeight="1">
      <c r="A65" s="10" t="s">
        <v>12</v>
      </c>
      <c r="B65" s="11">
        <v>45870.0</v>
      </c>
      <c r="C65" s="12" t="s">
        <v>23</v>
      </c>
      <c r="D65" s="13">
        <v>0.00399</v>
      </c>
      <c r="E65" s="13">
        <v>14.42</v>
      </c>
      <c r="F65" s="12"/>
      <c r="G65" s="13">
        <v>3614.03</v>
      </c>
      <c r="H65" s="13">
        <v>0.14</v>
      </c>
      <c r="I65" s="12"/>
      <c r="J65" s="12">
        <v>14.28</v>
      </c>
    </row>
    <row r="66" ht="22.5" customHeight="1">
      <c r="A66" s="10" t="s">
        <v>12</v>
      </c>
      <c r="B66" s="11">
        <v>45870.0</v>
      </c>
      <c r="C66" s="12" t="s">
        <v>20</v>
      </c>
      <c r="D66" s="13">
        <v>0.07082</v>
      </c>
      <c r="E66" s="13">
        <v>21.82</v>
      </c>
      <c r="F66" s="12"/>
      <c r="G66" s="13">
        <v>308.08</v>
      </c>
      <c r="H66" s="13">
        <v>0.15</v>
      </c>
      <c r="I66" s="12"/>
      <c r="J66" s="12">
        <v>21.97</v>
      </c>
    </row>
    <row r="67" ht="22.5" customHeight="1">
      <c r="A67" s="10" t="s">
        <v>15</v>
      </c>
      <c r="B67" s="11">
        <v>45870.0</v>
      </c>
      <c r="C67" s="12" t="s">
        <v>19</v>
      </c>
      <c r="D67" s="13">
        <v>0.0875</v>
      </c>
      <c r="E67" s="13">
        <v>15.21</v>
      </c>
      <c r="F67" s="12"/>
      <c r="G67" s="13">
        <v>173.77</v>
      </c>
      <c r="H67" s="13">
        <v>0.16</v>
      </c>
      <c r="I67" s="12"/>
      <c r="J67" s="12">
        <v>15.05</v>
      </c>
    </row>
    <row r="68" ht="22.5" customHeight="1">
      <c r="A68" s="10" t="s">
        <v>12</v>
      </c>
      <c r="B68" s="11">
        <v>45890.0</v>
      </c>
      <c r="C68" s="12" t="s">
        <v>21</v>
      </c>
      <c r="D68" s="13">
        <v>0.2014</v>
      </c>
      <c r="E68" s="13">
        <v>10.0</v>
      </c>
      <c r="F68" s="12"/>
      <c r="G68" s="13">
        <v>49.65</v>
      </c>
      <c r="H68" s="13">
        <v>0.15</v>
      </c>
      <c r="I68" s="12"/>
      <c r="J68" s="12">
        <v>10.15</v>
      </c>
    </row>
    <row r="69" ht="22.5" customHeight="1">
      <c r="A69" s="10" t="s">
        <v>12</v>
      </c>
      <c r="B69" s="11">
        <v>45890.0</v>
      </c>
      <c r="C69" s="12" t="s">
        <v>19</v>
      </c>
      <c r="D69" s="13">
        <v>0.06861</v>
      </c>
      <c r="E69" s="13">
        <v>12.0</v>
      </c>
      <c r="F69" s="12"/>
      <c r="G69" s="13">
        <v>174.88</v>
      </c>
      <c r="H69" s="13">
        <v>0.15</v>
      </c>
      <c r="I69" s="12"/>
      <c r="J69" s="12">
        <v>12.15</v>
      </c>
    </row>
    <row r="70" ht="22.5" customHeight="1">
      <c r="A70" s="10" t="s">
        <v>12</v>
      </c>
      <c r="B70" s="11">
        <v>45890.0</v>
      </c>
      <c r="C70" s="12" t="s">
        <v>16</v>
      </c>
      <c r="D70" s="13">
        <v>0.58651</v>
      </c>
      <c r="E70" s="13">
        <v>8.0</v>
      </c>
      <c r="F70" s="12"/>
      <c r="G70" s="13">
        <v>13.64</v>
      </c>
      <c r="H70" s="13">
        <v>0.15</v>
      </c>
      <c r="I70" s="12"/>
      <c r="J70" s="12">
        <v>8.15</v>
      </c>
    </row>
    <row r="71" ht="22.5" customHeight="1">
      <c r="A71" s="10" t="s">
        <v>12</v>
      </c>
      <c r="B71" s="11">
        <v>45890.0</v>
      </c>
      <c r="C71" s="12" t="s">
        <v>13</v>
      </c>
      <c r="D71" s="13">
        <v>0.09086</v>
      </c>
      <c r="E71" s="13">
        <v>12.0</v>
      </c>
      <c r="F71" s="12"/>
      <c r="G71" s="13">
        <v>132.06</v>
      </c>
      <c r="H71" s="13">
        <v>0.15</v>
      </c>
      <c r="I71" s="12"/>
      <c r="J71" s="12">
        <v>12.15</v>
      </c>
    </row>
    <row r="72" ht="22.5" customHeight="1">
      <c r="A72" s="10" t="s">
        <v>12</v>
      </c>
      <c r="B72" s="11">
        <v>45890.0</v>
      </c>
      <c r="C72" s="12" t="s">
        <v>22</v>
      </c>
      <c r="D72" s="13">
        <v>0.07218</v>
      </c>
      <c r="E72" s="13">
        <v>5.0</v>
      </c>
      <c r="F72" s="12"/>
      <c r="G72" s="13">
        <v>69.27</v>
      </c>
      <c r="H72" s="13">
        <v>0.15</v>
      </c>
      <c r="I72" s="12"/>
      <c r="J72" s="12">
        <v>5.15</v>
      </c>
    </row>
    <row r="73" ht="22.5" customHeight="1">
      <c r="A73" s="10" t="s">
        <v>12</v>
      </c>
      <c r="B73" s="11">
        <v>45890.0</v>
      </c>
      <c r="C73" s="12" t="s">
        <v>14</v>
      </c>
      <c r="D73" s="13">
        <v>7.138E-5</v>
      </c>
      <c r="E73" s="13">
        <v>8.0</v>
      </c>
      <c r="F73" s="12"/>
      <c r="G73" s="13">
        <v>112076.21</v>
      </c>
      <c r="H73" s="13">
        <v>0.08</v>
      </c>
      <c r="I73" s="12"/>
      <c r="J73" s="12">
        <v>8.08</v>
      </c>
    </row>
    <row r="74" ht="22.5" customHeight="1">
      <c r="A74" s="10" t="s">
        <v>12</v>
      </c>
      <c r="B74" s="11">
        <v>45890.0</v>
      </c>
      <c r="C74" s="12" t="s">
        <v>14</v>
      </c>
      <c r="D74" s="13">
        <v>6.247E-5</v>
      </c>
      <c r="E74" s="13">
        <v>7.0</v>
      </c>
      <c r="F74" s="12"/>
      <c r="G74" s="13">
        <v>112053.78</v>
      </c>
      <c r="H74" s="13">
        <v>0.07</v>
      </c>
      <c r="I74" s="12"/>
      <c r="J74" s="12">
        <v>7.07</v>
      </c>
    </row>
    <row r="75" ht="22.5" customHeight="1">
      <c r="A75" s="10" t="s">
        <v>12</v>
      </c>
      <c r="B75" s="11">
        <v>45890.0</v>
      </c>
      <c r="C75" s="12" t="s">
        <v>21</v>
      </c>
      <c r="D75" s="13">
        <v>0.2014</v>
      </c>
      <c r="E75" s="13">
        <v>10.0</v>
      </c>
      <c r="F75" s="12"/>
      <c r="G75" s="13">
        <v>49.65</v>
      </c>
      <c r="H75" s="13">
        <v>0.15</v>
      </c>
      <c r="I75" s="12"/>
      <c r="J75" s="12">
        <v>10.15</v>
      </c>
    </row>
    <row r="76" ht="22.5" customHeight="1">
      <c r="A76" s="10" t="s">
        <v>10</v>
      </c>
      <c r="B76" s="11">
        <v>45924.0</v>
      </c>
      <c r="C76" s="12" t="s">
        <v>24</v>
      </c>
      <c r="D76" s="13"/>
      <c r="E76" s="13">
        <v>50.0</v>
      </c>
      <c r="F76" s="12">
        <v>206510.0</v>
      </c>
      <c r="G76" s="13"/>
      <c r="H76" s="13"/>
      <c r="I76" s="12"/>
      <c r="J76" s="12">
        <v>50.0</v>
      </c>
    </row>
    <row r="77" ht="22.5" customHeight="1">
      <c r="A77" s="10" t="s">
        <v>17</v>
      </c>
      <c r="B77" s="11">
        <v>45924.0</v>
      </c>
      <c r="C77" s="12" t="s">
        <v>22</v>
      </c>
      <c r="D77" s="13"/>
      <c r="E77" s="13">
        <v>0.47</v>
      </c>
      <c r="F77" s="12"/>
      <c r="G77" s="13"/>
      <c r="H77" s="13">
        <v>0.14</v>
      </c>
      <c r="I77" s="12"/>
      <c r="J77" s="12">
        <v>0.33</v>
      </c>
    </row>
    <row r="78" ht="22.5" customHeight="1">
      <c r="A78" s="10" t="s">
        <v>12</v>
      </c>
      <c r="B78" s="11">
        <v>45929.0</v>
      </c>
      <c r="C78" s="12" t="s">
        <v>14</v>
      </c>
      <c r="D78" s="13">
        <v>8.912E-5</v>
      </c>
      <c r="E78" s="13">
        <v>10.0</v>
      </c>
      <c r="F78" s="12"/>
      <c r="G78" s="13">
        <v>112208.25</v>
      </c>
      <c r="H78" s="13">
        <v>0.1</v>
      </c>
      <c r="I78" s="12"/>
      <c r="J78" s="12">
        <v>10.1</v>
      </c>
    </row>
    <row r="79" ht="22.5" customHeight="1">
      <c r="A79" s="10" t="s">
        <v>12</v>
      </c>
      <c r="B79" s="11">
        <v>45929.0</v>
      </c>
      <c r="C79" s="12" t="s">
        <v>23</v>
      </c>
      <c r="D79" s="13">
        <v>0.00194643</v>
      </c>
      <c r="E79" s="13">
        <v>8.0</v>
      </c>
      <c r="F79" s="12"/>
      <c r="G79" s="13">
        <v>4110.08</v>
      </c>
      <c r="H79" s="13">
        <v>0.08</v>
      </c>
      <c r="I79" s="12"/>
      <c r="J79" s="12">
        <v>8.08</v>
      </c>
    </row>
    <row r="80" ht="22.5" customHeight="1">
      <c r="A80" s="10" t="s">
        <v>12</v>
      </c>
      <c r="B80" s="11">
        <v>45929.0</v>
      </c>
      <c r="C80" s="12" t="s">
        <v>21</v>
      </c>
      <c r="D80" s="13">
        <v>0.09376</v>
      </c>
      <c r="E80" s="13">
        <v>5.0</v>
      </c>
      <c r="F80" s="12"/>
      <c r="G80" s="13">
        <v>53.32</v>
      </c>
      <c r="H80" s="13">
        <v>0.15</v>
      </c>
      <c r="I80" s="12"/>
      <c r="J80" s="12">
        <v>5.15</v>
      </c>
    </row>
    <row r="81" ht="22.5" customHeight="1">
      <c r="A81" s="10" t="s">
        <v>12</v>
      </c>
      <c r="B81" s="11">
        <v>45929.0</v>
      </c>
      <c r="C81" s="12" t="s">
        <v>22</v>
      </c>
      <c r="D81" s="13">
        <v>0.07024</v>
      </c>
      <c r="E81" s="13">
        <v>5.0</v>
      </c>
      <c r="F81" s="12"/>
      <c r="G81" s="13">
        <v>71.17</v>
      </c>
      <c r="H81" s="13">
        <v>0.15</v>
      </c>
      <c r="I81" s="12"/>
      <c r="J81" s="12">
        <v>5.15</v>
      </c>
    </row>
    <row r="82" ht="22.5" customHeight="1">
      <c r="A82" s="10" t="s">
        <v>12</v>
      </c>
      <c r="B82" s="11">
        <v>45929.0</v>
      </c>
      <c r="C82" s="12" t="s">
        <v>13</v>
      </c>
      <c r="D82" s="13">
        <v>0.04346</v>
      </c>
      <c r="E82" s="13">
        <v>6.0</v>
      </c>
      <c r="F82" s="12"/>
      <c r="G82" s="13">
        <v>138.04</v>
      </c>
      <c r="H82" s="13">
        <v>0.15</v>
      </c>
      <c r="I82" s="12"/>
      <c r="J82" s="12">
        <v>6.15</v>
      </c>
    </row>
    <row r="83" ht="22.5" customHeight="1">
      <c r="A83" s="10" t="s">
        <v>12</v>
      </c>
      <c r="B83" s="11">
        <v>45929.0</v>
      </c>
      <c r="C83" s="12" t="s">
        <v>19</v>
      </c>
      <c r="D83" s="13">
        <v>0.03821</v>
      </c>
      <c r="E83" s="13">
        <v>7.0</v>
      </c>
      <c r="F83" s="12"/>
      <c r="G83" s="13">
        <v>183.19</v>
      </c>
      <c r="H83" s="13">
        <v>0.15</v>
      </c>
      <c r="I83" s="12"/>
      <c r="J83" s="12">
        <v>7.15</v>
      </c>
    </row>
    <row r="84" ht="22.5" customHeight="1">
      <c r="A84" s="10" t="s">
        <v>12</v>
      </c>
      <c r="B84" s="11">
        <v>45929.0</v>
      </c>
      <c r="C84" s="12" t="s">
        <v>20</v>
      </c>
      <c r="D84" s="13">
        <v>0.01987</v>
      </c>
      <c r="E84" s="13">
        <v>7.0</v>
      </c>
      <c r="F84" s="12"/>
      <c r="G84" s="13">
        <v>352.15</v>
      </c>
      <c r="H84" s="13">
        <v>0.15</v>
      </c>
      <c r="I84" s="12"/>
      <c r="J84" s="12">
        <v>7.15</v>
      </c>
    </row>
    <row r="85" ht="22.5" customHeight="1">
      <c r="A85" s="10" t="s">
        <v>10</v>
      </c>
      <c r="B85" s="11">
        <v>45953.0</v>
      </c>
      <c r="C85" s="12" t="s">
        <v>24</v>
      </c>
      <c r="D85" s="13"/>
      <c r="E85" s="13">
        <v>50.0</v>
      </c>
      <c r="F85" s="12">
        <v>206665.0</v>
      </c>
      <c r="G85" s="13"/>
      <c r="H85" s="13"/>
      <c r="I85" s="12"/>
      <c r="J85" s="12">
        <v>50.0</v>
      </c>
    </row>
    <row r="86" ht="22.5" customHeight="1">
      <c r="A86" s="10" t="s">
        <v>12</v>
      </c>
      <c r="B86" s="11">
        <v>45953.0</v>
      </c>
      <c r="C86" s="12" t="s">
        <v>22</v>
      </c>
      <c r="D86" s="13">
        <v>0.13738</v>
      </c>
      <c r="E86" s="13">
        <v>10.0</v>
      </c>
      <c r="F86" s="12"/>
      <c r="G86" s="13">
        <v>72.79</v>
      </c>
      <c r="H86" s="13">
        <v>0.15</v>
      </c>
      <c r="I86" s="12"/>
      <c r="J86" s="12">
        <v>10.15</v>
      </c>
    </row>
    <row r="87" ht="22.5" customHeight="1">
      <c r="A87" s="10" t="s">
        <v>12</v>
      </c>
      <c r="B87" s="11">
        <v>45953.0</v>
      </c>
      <c r="C87" s="12" t="s">
        <v>13</v>
      </c>
      <c r="D87" s="13">
        <v>0.10703</v>
      </c>
      <c r="E87" s="13">
        <v>15.0</v>
      </c>
      <c r="F87" s="12"/>
      <c r="G87" s="13">
        <v>140.14</v>
      </c>
      <c r="H87" s="13">
        <v>0.15</v>
      </c>
      <c r="I87" s="12"/>
      <c r="J87" s="12">
        <v>15.15</v>
      </c>
    </row>
    <row r="88" ht="22.5" customHeight="1">
      <c r="A88" s="10" t="s">
        <v>12</v>
      </c>
      <c r="B88" s="11">
        <v>45953.0</v>
      </c>
      <c r="C88" s="12" t="s">
        <v>20</v>
      </c>
      <c r="D88" s="13">
        <v>0.0394</v>
      </c>
      <c r="E88" s="13">
        <v>15.0</v>
      </c>
      <c r="F88" s="12"/>
      <c r="G88" s="13">
        <v>380.7</v>
      </c>
      <c r="H88" s="13">
        <v>0.15</v>
      </c>
      <c r="I88" s="12"/>
      <c r="J88" s="12">
        <v>15.15</v>
      </c>
    </row>
    <row r="89" ht="22.5" customHeight="1">
      <c r="A89" s="10" t="s">
        <v>12</v>
      </c>
      <c r="B89" s="11">
        <v>45953.0</v>
      </c>
      <c r="C89" s="12" t="s">
        <v>19</v>
      </c>
      <c r="D89" s="13">
        <v>0.04327</v>
      </c>
      <c r="E89" s="13">
        <v>7.91</v>
      </c>
      <c r="F89" s="12"/>
      <c r="G89" s="13">
        <v>182.77</v>
      </c>
      <c r="H89" s="13">
        <v>0.15</v>
      </c>
      <c r="I89" s="12">
        <v>0.0</v>
      </c>
      <c r="J89" s="12">
        <v>8.06</v>
      </c>
    </row>
    <row r="90" ht="22.5" customHeight="1">
      <c r="A90" s="10" t="s">
        <v>12</v>
      </c>
      <c r="B90" s="11">
        <v>45953.0</v>
      </c>
      <c r="C90" s="12" t="s">
        <v>23</v>
      </c>
      <c r="D90" s="13">
        <v>0.00128778</v>
      </c>
      <c r="E90" s="13">
        <v>5.0</v>
      </c>
      <c r="F90" s="12"/>
      <c r="G90" s="13">
        <v>3882.65</v>
      </c>
      <c r="H90" s="13">
        <v>0.05</v>
      </c>
      <c r="I90" s="12">
        <v>0.0</v>
      </c>
      <c r="J90" s="12">
        <v>5.05</v>
      </c>
    </row>
    <row r="91" ht="22.5" customHeight="1">
      <c r="A91" s="10" t="s">
        <v>10</v>
      </c>
      <c r="B91" s="11">
        <v>45983.0</v>
      </c>
      <c r="C91" s="12" t="s">
        <v>24</v>
      </c>
      <c r="D91" s="13"/>
      <c r="E91" s="13">
        <v>100.0</v>
      </c>
      <c r="F91" s="12"/>
      <c r="G91" s="13">
        <v>0.0</v>
      </c>
      <c r="H91" s="13"/>
      <c r="I91" s="12">
        <v>0.0</v>
      </c>
      <c r="J91" s="12">
        <v>100.0</v>
      </c>
    </row>
    <row r="92" ht="22.5" customHeight="1">
      <c r="A92" s="10" t="s">
        <v>12</v>
      </c>
      <c r="B92" s="11">
        <v>45983.0</v>
      </c>
      <c r="C92" s="12" t="s">
        <v>23</v>
      </c>
      <c r="D92" s="13">
        <v>0.00545161</v>
      </c>
      <c r="E92" s="13">
        <v>15.0</v>
      </c>
      <c r="F92" s="12"/>
      <c r="G92" s="13">
        <v>2751.48</v>
      </c>
      <c r="H92" s="13">
        <v>0.15</v>
      </c>
      <c r="I92" s="12">
        <v>0.0</v>
      </c>
      <c r="J92" s="12">
        <v>15.15</v>
      </c>
    </row>
    <row r="93" ht="22.5" customHeight="1">
      <c r="A93" s="10" t="s">
        <v>12</v>
      </c>
      <c r="B93" s="11">
        <v>45983.0</v>
      </c>
      <c r="C93" s="12" t="s">
        <v>14</v>
      </c>
      <c r="D93" s="13">
        <v>2.9549E-4</v>
      </c>
      <c r="E93" s="13">
        <v>25.0</v>
      </c>
      <c r="F93" s="12"/>
      <c r="G93" s="13">
        <v>84605.23</v>
      </c>
      <c r="H93" s="13">
        <v>0.25</v>
      </c>
      <c r="I93" s="12">
        <v>0.0</v>
      </c>
      <c r="J93" s="12">
        <v>25.25</v>
      </c>
    </row>
    <row r="94" ht="22.5" customHeight="1">
      <c r="A94" s="10" t="s">
        <v>12</v>
      </c>
      <c r="B94" s="11">
        <v>45987.0</v>
      </c>
      <c r="C94" s="12" t="s">
        <v>21</v>
      </c>
      <c r="D94" s="13">
        <v>0.51803</v>
      </c>
      <c r="E94" s="13">
        <v>28.0</v>
      </c>
      <c r="G94" s="13">
        <v>54.04</v>
      </c>
      <c r="H94" s="13">
        <v>0.15</v>
      </c>
      <c r="I94" s="12"/>
      <c r="J94" s="13">
        <v>28.15</v>
      </c>
    </row>
    <row r="95" ht="22.5" customHeight="1">
      <c r="A95" s="10" t="s">
        <v>12</v>
      </c>
      <c r="B95" s="11">
        <v>45987.0</v>
      </c>
      <c r="C95" s="12" t="s">
        <v>22</v>
      </c>
      <c r="D95" s="13">
        <v>0.27605</v>
      </c>
      <c r="E95" s="13">
        <v>20.0</v>
      </c>
      <c r="G95" s="13">
        <v>72.45</v>
      </c>
      <c r="H95" s="13">
        <v>0.15</v>
      </c>
      <c r="I95" s="12"/>
      <c r="J95" s="13">
        <v>20.15</v>
      </c>
    </row>
    <row r="96" ht="22.5" customHeight="1">
      <c r="A96" s="10" t="s">
        <v>12</v>
      </c>
      <c r="B96" s="11">
        <v>45987.0</v>
      </c>
      <c r="C96" s="12" t="s">
        <v>13</v>
      </c>
      <c r="D96" s="13">
        <v>0.07939</v>
      </c>
      <c r="E96" s="13">
        <v>11.15</v>
      </c>
      <c r="G96" s="13">
        <v>140.43</v>
      </c>
      <c r="H96" s="13">
        <v>0.15</v>
      </c>
      <c r="I96" s="12"/>
      <c r="J96" s="13">
        <v>11.3</v>
      </c>
    </row>
    <row r="97" ht="22.5" customHeight="1">
      <c r="A97" s="10" t="s">
        <v>10</v>
      </c>
      <c r="B97" s="11">
        <v>46010.0</v>
      </c>
      <c r="C97" s="12"/>
      <c r="D97" s="13"/>
      <c r="E97" s="13">
        <v>100.0</v>
      </c>
      <c r="F97" s="14"/>
      <c r="G97" s="13"/>
      <c r="H97" s="9"/>
      <c r="I97" s="12"/>
      <c r="J97" s="13">
        <v>100.0</v>
      </c>
    </row>
    <row r="98" ht="22.5" customHeight="1">
      <c r="A98" s="10" t="s">
        <v>17</v>
      </c>
      <c r="B98" s="11">
        <v>46013.0</v>
      </c>
      <c r="C98" s="12" t="s">
        <v>13</v>
      </c>
      <c r="D98" s="13"/>
      <c r="E98" s="13">
        <v>1.51</v>
      </c>
      <c r="F98" s="14"/>
      <c r="G98" s="9"/>
      <c r="H98" s="13">
        <v>-0.45</v>
      </c>
      <c r="I98" s="12"/>
      <c r="J98" s="13">
        <v>1.06</v>
      </c>
    </row>
    <row r="99" ht="22.5" customHeight="1">
      <c r="A99" s="10" t="s">
        <v>17</v>
      </c>
      <c r="B99" s="11">
        <v>46013.0</v>
      </c>
      <c r="C99" s="12" t="s">
        <v>21</v>
      </c>
      <c r="D99" s="13"/>
      <c r="E99" s="13">
        <v>1.56</v>
      </c>
      <c r="F99" s="14"/>
      <c r="G99" s="9"/>
      <c r="H99" s="13">
        <v>-0.47</v>
      </c>
      <c r="I99" s="12"/>
      <c r="J99" s="13">
        <v>1.09</v>
      </c>
    </row>
    <row r="100" ht="22.5" customHeight="1">
      <c r="A100" s="10" t="s">
        <v>17</v>
      </c>
      <c r="B100" s="11">
        <v>46015.0</v>
      </c>
      <c r="C100" s="12" t="s">
        <v>22</v>
      </c>
      <c r="D100" s="13"/>
      <c r="E100" s="13">
        <v>2.27</v>
      </c>
      <c r="F100" s="14"/>
      <c r="G100" s="9"/>
      <c r="H100" s="13">
        <v>-0.68</v>
      </c>
      <c r="I100" s="12"/>
      <c r="J100" s="13">
        <v>1.59</v>
      </c>
    </row>
    <row r="101" ht="22.5" customHeight="1">
      <c r="A101" s="10" t="s">
        <v>12</v>
      </c>
      <c r="B101" s="11">
        <v>46024.0</v>
      </c>
      <c r="C101" s="12" t="s">
        <v>13</v>
      </c>
      <c r="D101" s="13">
        <v>0.17603</v>
      </c>
      <c r="E101" s="13">
        <v>25.0</v>
      </c>
      <c r="G101" s="13">
        <v>142.01</v>
      </c>
      <c r="H101" s="13">
        <v>0.15</v>
      </c>
      <c r="J101" s="13">
        <v>25.15</v>
      </c>
    </row>
    <row r="102" ht="22.5" customHeight="1">
      <c r="A102" s="10" t="s">
        <v>12</v>
      </c>
      <c r="B102" s="11">
        <v>46024.0</v>
      </c>
      <c r="C102" s="12" t="s">
        <v>22</v>
      </c>
      <c r="D102" s="13">
        <v>0.26872</v>
      </c>
      <c r="E102" s="13">
        <v>20.0</v>
      </c>
      <c r="G102" s="13">
        <v>74.42</v>
      </c>
      <c r="H102" s="13">
        <v>0.15</v>
      </c>
      <c r="J102" s="13">
        <v>20.15</v>
      </c>
    </row>
    <row r="103" ht="22.5" customHeight="1">
      <c r="A103" s="10" t="s">
        <v>12</v>
      </c>
      <c r="B103" s="11">
        <v>46024.0</v>
      </c>
      <c r="C103" s="12" t="s">
        <v>21</v>
      </c>
      <c r="D103" s="13">
        <v>0.17863</v>
      </c>
      <c r="E103" s="13">
        <v>10.0</v>
      </c>
      <c r="G103" s="13">
        <v>55.97</v>
      </c>
      <c r="H103" s="13">
        <v>0.15</v>
      </c>
      <c r="J103" s="13">
        <v>10.15</v>
      </c>
    </row>
    <row r="104" ht="22.5" customHeight="1">
      <c r="A104" s="10" t="s">
        <v>12</v>
      </c>
      <c r="B104" s="11">
        <v>46024.0</v>
      </c>
      <c r="C104" s="12" t="s">
        <v>19</v>
      </c>
      <c r="D104" s="13">
        <v>0.10542</v>
      </c>
      <c r="E104" s="13">
        <v>20.0</v>
      </c>
      <c r="G104" s="13">
        <v>189.71</v>
      </c>
      <c r="H104" s="13">
        <v>0.15</v>
      </c>
      <c r="J104" s="13">
        <v>20.15</v>
      </c>
    </row>
    <row r="105" ht="22.5" customHeight="1">
      <c r="A105" s="10" t="s">
        <v>12</v>
      </c>
      <c r="B105" s="11">
        <v>46024.0</v>
      </c>
      <c r="C105" s="12" t="s">
        <v>20</v>
      </c>
      <c r="D105" s="13">
        <v>0.0251</v>
      </c>
      <c r="E105" s="13">
        <v>10.0</v>
      </c>
      <c r="G105" s="13">
        <v>398.26</v>
      </c>
      <c r="H105" s="13">
        <v>0.15</v>
      </c>
      <c r="J105" s="13">
        <v>10.15</v>
      </c>
    </row>
    <row r="106" ht="22.5" customHeight="1">
      <c r="A106" s="10" t="s">
        <v>10</v>
      </c>
      <c r="B106" s="11">
        <v>46043.0</v>
      </c>
      <c r="C106" s="12"/>
      <c r="D106" s="13"/>
      <c r="E106" s="13">
        <v>100.0</v>
      </c>
      <c r="F106" s="14"/>
      <c r="G106" s="13"/>
      <c r="H106" s="9"/>
      <c r="I106" s="12"/>
      <c r="J106" s="13">
        <v>100.0</v>
      </c>
    </row>
    <row r="107" ht="22.5" customHeight="1">
      <c r="A107" s="2" t="s">
        <v>12</v>
      </c>
      <c r="B107" s="3">
        <v>46043.424305555556</v>
      </c>
      <c r="C107" s="4" t="s">
        <v>13</v>
      </c>
      <c r="D107" s="5">
        <v>0.174</v>
      </c>
      <c r="E107" s="5">
        <v>25.0</v>
      </c>
      <c r="G107" s="5">
        <v>143.41</v>
      </c>
      <c r="H107" s="5">
        <v>0.15</v>
      </c>
      <c r="J107" s="4">
        <v>25.15</v>
      </c>
      <c r="N107" s="15"/>
    </row>
    <row r="108" ht="22.5" customHeight="1">
      <c r="A108" s="2" t="s">
        <v>12</v>
      </c>
      <c r="B108" s="3">
        <v>46043.425</v>
      </c>
      <c r="C108" s="4" t="s">
        <v>21</v>
      </c>
      <c r="D108" s="5">
        <v>0.25782</v>
      </c>
      <c r="E108" s="5">
        <v>15.0</v>
      </c>
      <c r="G108" s="5">
        <v>58.17</v>
      </c>
      <c r="H108" s="5">
        <v>0.15</v>
      </c>
      <c r="J108" s="4">
        <v>15.15</v>
      </c>
      <c r="N108" s="15"/>
    </row>
    <row r="109" ht="22.5" customHeight="1">
      <c r="A109" s="2" t="s">
        <v>12</v>
      </c>
      <c r="B109" s="3">
        <v>46043.425</v>
      </c>
      <c r="C109" s="4" t="s">
        <v>22</v>
      </c>
      <c r="D109" s="5">
        <v>0.19639</v>
      </c>
      <c r="E109" s="5">
        <v>15.0</v>
      </c>
      <c r="G109" s="5">
        <v>76.37</v>
      </c>
      <c r="H109" s="5">
        <v>0.15</v>
      </c>
      <c r="J109" s="4">
        <v>15.15</v>
      </c>
      <c r="N109" s="16"/>
    </row>
    <row r="110" ht="22.5" customHeight="1">
      <c r="A110" s="2" t="s">
        <v>12</v>
      </c>
      <c r="B110" s="3">
        <v>46043.42569444444</v>
      </c>
      <c r="C110" s="4" t="s">
        <v>16</v>
      </c>
      <c r="D110" s="5">
        <v>0.5724</v>
      </c>
      <c r="E110" s="5">
        <v>10.0</v>
      </c>
      <c r="G110" s="5">
        <v>17.47</v>
      </c>
      <c r="H110" s="5">
        <v>0.15</v>
      </c>
      <c r="J110" s="4">
        <v>10.15</v>
      </c>
      <c r="N110" s="16"/>
    </row>
    <row r="111" ht="22.5" customHeight="1">
      <c r="A111" s="2" t="s">
        <v>12</v>
      </c>
      <c r="B111" s="3">
        <v>46043.42569444444</v>
      </c>
      <c r="C111" s="4" t="s">
        <v>19</v>
      </c>
      <c r="D111" s="5">
        <v>0.0833</v>
      </c>
      <c r="E111" s="5">
        <v>15.0</v>
      </c>
      <c r="G111" s="5">
        <v>180.06</v>
      </c>
      <c r="H111" s="5">
        <v>0.15</v>
      </c>
      <c r="J111" s="4">
        <v>15.15</v>
      </c>
      <c r="N111" s="16"/>
    </row>
    <row r="112" ht="22.5" customHeight="1">
      <c r="A112" s="2" t="s">
        <v>12</v>
      </c>
      <c r="B112" s="3">
        <v>46062.322916666664</v>
      </c>
      <c r="C112" s="4" t="s">
        <v>14</v>
      </c>
      <c r="D112" s="5">
        <v>4.3405E-4</v>
      </c>
      <c r="E112" s="5">
        <v>30.0</v>
      </c>
      <c r="G112" s="5">
        <v>69116.46</v>
      </c>
      <c r="H112" s="5">
        <v>0.3</v>
      </c>
      <c r="J112" s="4">
        <v>30.3</v>
      </c>
      <c r="N112" s="16"/>
    </row>
    <row r="113" ht="22.5" customHeight="1">
      <c r="A113" s="2" t="s">
        <v>10</v>
      </c>
      <c r="B113" s="3">
        <v>46090.2875</v>
      </c>
      <c r="C113" s="4" t="s">
        <v>24</v>
      </c>
      <c r="D113" s="9"/>
      <c r="E113" s="5">
        <v>75.0</v>
      </c>
      <c r="F113" s="4">
        <v>297419.0</v>
      </c>
      <c r="G113" s="9"/>
      <c r="H113" s="9"/>
      <c r="J113" s="4">
        <v>75.0</v>
      </c>
      <c r="N113" s="16"/>
    </row>
    <row r="114" ht="22.5" customHeight="1">
      <c r="A114" s="2" t="s">
        <v>12</v>
      </c>
      <c r="B114" s="3">
        <v>46090.46041666667</v>
      </c>
      <c r="C114" s="4" t="s">
        <v>13</v>
      </c>
      <c r="D114" s="5">
        <v>0.14171</v>
      </c>
      <c r="E114" s="5">
        <v>20.0</v>
      </c>
      <c r="G114" s="5">
        <v>141.13</v>
      </c>
      <c r="H114" s="5">
        <v>0.15</v>
      </c>
      <c r="J114" s="4">
        <v>20.15</v>
      </c>
      <c r="N114" s="15"/>
    </row>
    <row r="115" ht="22.5" customHeight="1">
      <c r="A115" s="2" t="s">
        <v>12</v>
      </c>
      <c r="B115" s="3">
        <v>46090.46111111111</v>
      </c>
      <c r="C115" s="4" t="s">
        <v>19</v>
      </c>
      <c r="D115" s="5">
        <v>0.08339</v>
      </c>
      <c r="E115" s="5">
        <v>15.0</v>
      </c>
      <c r="G115" s="5">
        <v>179.87</v>
      </c>
      <c r="H115" s="5">
        <v>0.15</v>
      </c>
      <c r="J115" s="4">
        <v>15.15</v>
      </c>
      <c r="N115" s="15"/>
    </row>
    <row r="116" ht="22.5" customHeight="1">
      <c r="A116" s="10" t="s">
        <v>12</v>
      </c>
      <c r="B116" s="11">
        <v>46097.0</v>
      </c>
      <c r="C116" s="12" t="s">
        <v>14</v>
      </c>
      <c r="D116" s="13">
        <v>3.4097E-4</v>
      </c>
      <c r="E116" s="13">
        <v>25.0</v>
      </c>
      <c r="F116" s="14"/>
      <c r="G116" s="13">
        <v>73320.0</v>
      </c>
      <c r="H116" s="13">
        <v>0.25</v>
      </c>
      <c r="I116" s="14"/>
      <c r="J116" s="12">
        <v>25.25</v>
      </c>
    </row>
    <row r="117" ht="22.5" customHeight="1">
      <c r="A117" s="10" t="s">
        <v>12</v>
      </c>
      <c r="B117" s="11">
        <v>46097.0</v>
      </c>
      <c r="C117" s="12" t="s">
        <v>23</v>
      </c>
      <c r="D117" s="13">
        <v>0.00440605</v>
      </c>
      <c r="E117" s="13">
        <v>10.0</v>
      </c>
      <c r="F117" s="14"/>
      <c r="G117" s="13">
        <v>2269.0</v>
      </c>
      <c r="H117" s="13">
        <v>0.1</v>
      </c>
      <c r="I117" s="14"/>
      <c r="J117" s="12">
        <v>10.1</v>
      </c>
      <c r="O117" s="15"/>
    </row>
    <row r="118" ht="22.5" customHeight="1">
      <c r="A118" s="10" t="s">
        <v>12</v>
      </c>
      <c r="B118" s="11">
        <v>46097.0</v>
      </c>
      <c r="C118" s="4" t="s">
        <v>13</v>
      </c>
      <c r="D118" s="13">
        <v>0.07881</v>
      </c>
      <c r="E118" s="13">
        <v>11.14</v>
      </c>
      <c r="F118" s="14"/>
      <c r="G118" s="13">
        <v>141.43</v>
      </c>
      <c r="H118" s="13">
        <v>0.15</v>
      </c>
      <c r="I118" s="14"/>
      <c r="J118" s="12">
        <v>11.29</v>
      </c>
      <c r="O118" s="15"/>
    </row>
    <row r="119">
      <c r="O119" s="15"/>
    </row>
    <row r="120">
      <c r="O120" s="15"/>
    </row>
  </sheetData>
  <dataValidations>
    <dataValidation type="list" allowBlank="1" showDropDown="1" showErrorMessage="1" sqref="A2:A118">
      <formula1>"Depósito,Compra,Venta,Dividendo"</formula1>
    </dataValidation>
    <dataValidation type="custom" allowBlank="1" showDropDown="1" sqref="B2:B118">
      <formula1>OR(NOT(ISERROR(DATEVALUE(B2))), AND(ISNUMBER(B2), LEFT(CELL("format", B2))="D"))</formula1>
    </dataValidation>
    <dataValidation type="custom" allowBlank="1" showDropDown="1" sqref="D2:E118 G2:H118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0.75"/>
    <col customWidth="1" min="12" max="12" width="25.38"/>
  </cols>
  <sheetData>
    <row r="1">
      <c r="A1" s="17" t="str">
        <f>IFERROR(__xludf.DUMMYFUNCTION("QUERY('Inversiones - Tabla Central'!A:J,""select * where A is not null order by B ASC"",1)"),"Tipo de Operación")</f>
        <v>Tipo de Operación</v>
      </c>
      <c r="B1" s="17" t="str">
        <f>IFERROR(__xludf.DUMMYFUNCTION("""COMPUTED_VALUE"""),"Fecha")</f>
        <v>Fecha</v>
      </c>
      <c r="C1" s="17" t="str">
        <f>IFERROR(__xludf.DUMMYFUNCTION("""COMPUTED_VALUE"""),"Activo")</f>
        <v>Activo</v>
      </c>
      <c r="D1" s="17" t="str">
        <f>IFERROR(__xludf.DUMMYFUNCTION("""COMPUTED_VALUE"""),"Cantidad")</f>
        <v>Cantidad</v>
      </c>
      <c r="E1" s="17" t="str">
        <f>IFERROR(__xludf.DUMMYFUNCTION("""COMPUTED_VALUE"""),"Monto USD")</f>
        <v>Monto USD</v>
      </c>
      <c r="F1" s="17" t="str">
        <f>IFERROR(__xludf.DUMMYFUNCTION("""COMPUTED_VALUE"""),"Monto COP")</f>
        <v>Monto COP</v>
      </c>
      <c r="G1" s="17" t="str">
        <f>IFERROR(__xludf.DUMMYFUNCTION("""COMPUTED_VALUE"""),"Precio Unitario")</f>
        <v>Precio Unitario</v>
      </c>
      <c r="H1" s="17" t="str">
        <f>IFERROR(__xludf.DUMMYFUNCTION("""COMPUTED_VALUE"""),"Costo de Cierre")</f>
        <v>Costo de Cierre</v>
      </c>
      <c r="I1" s="17" t="str">
        <f>IFERROR(__xludf.DUMMYFUNCTION("""COMPUTED_VALUE"""),"Ganancia/Pérdida USD")</f>
        <v>Ganancia/Pérdida USD</v>
      </c>
      <c r="J1" s="17" t="str">
        <f>IFERROR(__xludf.DUMMYFUNCTION("""COMPUTED_VALUE"""),"Total")</f>
        <v>Total</v>
      </c>
      <c r="K1" s="18" t="s">
        <v>25</v>
      </c>
      <c r="L1" s="18" t="s">
        <v>26</v>
      </c>
      <c r="M1" s="18" t="s">
        <v>27</v>
      </c>
      <c r="N1" s="18" t="s">
        <v>28</v>
      </c>
    </row>
    <row r="2">
      <c r="A2" s="17" t="str">
        <f>IFERROR(__xludf.DUMMYFUNCTION("""COMPUTED_VALUE"""),"Depósito")</f>
        <v>Depósito</v>
      </c>
      <c r="B2" s="19">
        <f>IFERROR(__xludf.DUMMYFUNCTION("""COMPUTED_VALUE"""),45610.0)</f>
        <v>45610</v>
      </c>
      <c r="C2" s="17"/>
      <c r="D2" s="17"/>
      <c r="E2" s="17">
        <f>IFERROR(__xludf.DUMMYFUNCTION("""COMPUTED_VALUE"""),22.36)</f>
        <v>22.36</v>
      </c>
      <c r="F2" s="17">
        <f>IFERROR(__xludf.DUMMYFUNCTION("""COMPUTED_VALUE"""),111413.0)</f>
        <v>111413</v>
      </c>
      <c r="G2" s="17"/>
      <c r="H2" s="20"/>
      <c r="I2" s="17"/>
      <c r="J2" s="20">
        <f>IFERROR(__xludf.DUMMYFUNCTION("""COMPUTED_VALUE"""),22.36)</f>
        <v>22.36</v>
      </c>
      <c r="K2" s="17" t="str">
        <f t="shared" ref="K2:K118" si="1">IF(A2="","",LET(
 activo,C2,
 filaAnt,IFERROR(MAX(FILTRAR(ROW($C$1:C1),$C$1:C1=activo,$K$1:K1&lt;&gt;"")),0),
 cantAnt,IF(filaAnt=0,0,INDEX($K:$K,filaAnt)),
 IF(A2="Compra",
  cantAnt + D2,
  IF(A2="Venta",
   cantAnt - D2,
   IF(A2="Dividendo",
    cantAnt,
    ""
   )
  )
 )
))</f>
        <v/>
      </c>
      <c r="L2" s="17" t="str">
        <f>IF(A2="","",LET(
activo,C2,
costoAnt,IFERROR(LOOKUP(2,1/((C$1:C1=activo)*(L$1:L1&lt;&gt;"")),L$1:L1),0),
promAnt,IFERROR(LOOKUP(2,1/((C$1:C1=activo)*(M$1:M1&lt;&gt;"")),M$1:M1),0),
nuevoCosto,IF(A2="Compra",
 costoAnt + J2,
 IF(A2="Venta",
  costoAnt - (D2*promAnt),
  IF(A2="Dividendo",
   costoAnt,
   ""
  )
 ),
IF(K2=0,0,nuevoCosto)
)))</f>
        <v>#N/A</v>
      </c>
      <c r="M2" s="17" t="str">
        <f t="shared" ref="M2:M118" si="2">IF(A2="","",IF(K2&gt;0,L2/K2,0))</f>
        <v>#N/A</v>
      </c>
      <c r="N2" s="17" t="str">
        <f t="shared" ref="N2:N118" si="3">IF(A2="","",LET(
 activo,C2,
 promAnt,IFERROR(LOOKUP(2,1/(($C$1:C1=activo)*($M$1:M1&lt;&gt;"")),$M$1:M1),0),
 IF(A2="Venta",
  J2 - (D2*promAnt),
  IF(A2="Dividendo",
   J2,
   ""
  )
 )
))</f>
        <v/>
      </c>
    </row>
    <row r="3">
      <c r="A3" s="17" t="str">
        <f>IFERROR(__xludf.DUMMYFUNCTION("""COMPUTED_VALUE"""),"Compra")</f>
        <v>Compra</v>
      </c>
      <c r="B3" s="19">
        <f>IFERROR(__xludf.DUMMYFUNCTION("""COMPUTED_VALUE"""),45610.0)</f>
        <v>45610</v>
      </c>
      <c r="C3" s="17" t="str">
        <f>IFERROR(__xludf.DUMMYFUNCTION("""COMPUTED_VALUE"""),"ACWI")</f>
        <v>ACWI</v>
      </c>
      <c r="D3" s="17">
        <f>IFERROR(__xludf.DUMMYFUNCTION("""COMPUTED_VALUE"""),0.18274)</f>
        <v>0.18274</v>
      </c>
      <c r="E3" s="17">
        <f>IFERROR(__xludf.DUMMYFUNCTION("""COMPUTED_VALUE"""),22.0)</f>
        <v>22</v>
      </c>
      <c r="F3" s="17"/>
      <c r="G3" s="17">
        <f>IFERROR(__xludf.DUMMYFUNCTION("""COMPUTED_VALUE"""),120.38)</f>
        <v>120.38</v>
      </c>
      <c r="H3" s="20">
        <f>IFERROR(__xludf.DUMMYFUNCTION("""COMPUTED_VALUE"""),0.15)</f>
        <v>0.15</v>
      </c>
      <c r="I3" s="17"/>
      <c r="J3" s="20">
        <f>IFERROR(__xludf.DUMMYFUNCTION("""COMPUTED_VALUE"""),22.15)</f>
        <v>22.15</v>
      </c>
      <c r="K3" s="17">
        <f t="shared" si="1"/>
        <v>0.18274</v>
      </c>
      <c r="L3" s="20">
        <f t="shared" ref="L3:L118" si="4">IF(A3="","",LET(
 activo,C3,
 costoAnt,IFERROR(LOOKUP(2,1/(($C$1:C2=activo)*($L$1:L2&lt;&gt;"")),$L$1:L2),0),
 promAnt,IFERROR(LOOKUP(2,1/(($C$1:C2=activo)*($M$1:M2&lt;&gt;"")),$M$1:M2),0),
 nuevoCosto,
 IF(A3="Compra",
  costoAnt + J3,
  IF(A3="Venta",
   costoAnt - (D3*promAnt),
   IF(A3="Dividendo",
    costoAnt,
    ""
   )
  )
 ),
 IF(nuevoCosto&lt;0,0,nuevoCosto)
))</f>
        <v>22.15</v>
      </c>
      <c r="M3" s="17">
        <f t="shared" si="2"/>
        <v>121.210463</v>
      </c>
      <c r="N3" s="17" t="str">
        <f t="shared" si="3"/>
        <v/>
      </c>
    </row>
    <row r="4">
      <c r="A4" s="17" t="str">
        <f>IFERROR(__xludf.DUMMYFUNCTION("""COMPUTED_VALUE"""),"Depósito")</f>
        <v>Depósito</v>
      </c>
      <c r="B4" s="19">
        <f>IFERROR(__xludf.DUMMYFUNCTION("""COMPUTED_VALUE"""),45610.0)</f>
        <v>45610</v>
      </c>
      <c r="C4" s="17"/>
      <c r="D4" s="17"/>
      <c r="E4" s="17">
        <f>IFERROR(__xludf.DUMMYFUNCTION("""COMPUTED_VALUE"""),24.5)</f>
        <v>24.5</v>
      </c>
      <c r="F4" s="17">
        <f>IFERROR(__xludf.DUMMYFUNCTION("""COMPUTED_VALUE"""),121701.0)</f>
        <v>121701</v>
      </c>
      <c r="G4" s="17"/>
      <c r="H4" s="20"/>
      <c r="I4" s="17"/>
      <c r="J4" s="20">
        <f>IFERROR(__xludf.DUMMYFUNCTION("""COMPUTED_VALUE"""),24.5)</f>
        <v>24.5</v>
      </c>
      <c r="K4" s="17" t="str">
        <f t="shared" si="1"/>
        <v/>
      </c>
      <c r="L4" s="17" t="str">
        <f t="shared" si="4"/>
        <v/>
      </c>
      <c r="M4" s="17" t="str">
        <f t="shared" si="2"/>
        <v>#DIV/0!</v>
      </c>
      <c r="N4" s="17" t="str">
        <f t="shared" si="3"/>
        <v/>
      </c>
    </row>
    <row r="5">
      <c r="A5" s="17" t="str">
        <f>IFERROR(__xludf.DUMMYFUNCTION("""COMPUTED_VALUE"""),"Compra")</f>
        <v>Compra</v>
      </c>
      <c r="B5" s="19">
        <f>IFERROR(__xludf.DUMMYFUNCTION("""COMPUTED_VALUE"""),45610.0)</f>
        <v>45610</v>
      </c>
      <c r="C5" s="17" t="str">
        <f>IFERROR(__xludf.DUMMYFUNCTION("""COMPUTED_VALUE"""),"BTCUSD")</f>
        <v>BTCUSD</v>
      </c>
      <c r="D5" s="17">
        <f>IFERROR(__xludf.DUMMYFUNCTION("""COMPUTED_VALUE"""),2.6791E-4)</f>
        <v>0.00026791</v>
      </c>
      <c r="E5" s="17">
        <f>IFERROR(__xludf.DUMMYFUNCTION("""COMPUTED_VALUE"""),24.0)</f>
        <v>24</v>
      </c>
      <c r="F5" s="17"/>
      <c r="G5" s="17">
        <f>IFERROR(__xludf.DUMMYFUNCTION("""COMPUTED_VALUE"""),89582.0)</f>
        <v>89582</v>
      </c>
      <c r="H5" s="20">
        <f>IFERROR(__xludf.DUMMYFUNCTION("""COMPUTED_VALUE"""),0.24)</f>
        <v>0.24</v>
      </c>
      <c r="I5" s="17"/>
      <c r="J5" s="20">
        <f>IFERROR(__xludf.DUMMYFUNCTION("""COMPUTED_VALUE"""),24.24)</f>
        <v>24.24</v>
      </c>
      <c r="K5" s="17">
        <f t="shared" si="1"/>
        <v>0.00026791</v>
      </c>
      <c r="L5" s="20">
        <f t="shared" si="4"/>
        <v>24.24</v>
      </c>
      <c r="M5" s="17">
        <f t="shared" si="2"/>
        <v>90478.14565</v>
      </c>
      <c r="N5" s="17" t="str">
        <f t="shared" si="3"/>
        <v/>
      </c>
    </row>
    <row r="6">
      <c r="A6" s="17" t="str">
        <f>IFERROR(__xludf.DUMMYFUNCTION("""COMPUTED_VALUE"""),"Depósito")</f>
        <v>Depósito</v>
      </c>
      <c r="B6" s="19">
        <f>IFERROR(__xludf.DUMMYFUNCTION("""COMPUTED_VALUE"""),45617.0)</f>
        <v>45617</v>
      </c>
      <c r="C6" s="17"/>
      <c r="D6" s="17"/>
      <c r="E6" s="17">
        <f>IFERROR(__xludf.DUMMYFUNCTION("""COMPUTED_VALUE"""),45.42)</f>
        <v>45.42</v>
      </c>
      <c r="F6" s="17">
        <f>IFERROR(__xludf.DUMMYFUNCTION("""COMPUTED_VALUE"""),213352.0)</f>
        <v>213352</v>
      </c>
      <c r="G6" s="17"/>
      <c r="H6" s="20"/>
      <c r="I6" s="17"/>
      <c r="J6" s="20">
        <f>IFERROR(__xludf.DUMMYFUNCTION("""COMPUTED_VALUE"""),45.42)</f>
        <v>45.42</v>
      </c>
      <c r="K6" s="17" t="str">
        <f t="shared" si="1"/>
        <v/>
      </c>
      <c r="L6" s="17" t="str">
        <f t="shared" si="4"/>
        <v/>
      </c>
      <c r="M6" s="17" t="str">
        <f t="shared" si="2"/>
        <v>#DIV/0!</v>
      </c>
      <c r="N6" s="17" t="str">
        <f t="shared" si="3"/>
        <v/>
      </c>
    </row>
    <row r="7">
      <c r="A7" s="17" t="str">
        <f>IFERROR(__xludf.DUMMYFUNCTION("""COMPUTED_VALUE"""),"Compra")</f>
        <v>Compra</v>
      </c>
      <c r="B7" s="19">
        <f>IFERROR(__xludf.DUMMYFUNCTION("""COMPUTED_VALUE"""),45617.0)</f>
        <v>45617</v>
      </c>
      <c r="C7" s="17" t="str">
        <f>IFERROR(__xludf.DUMMYFUNCTION("""COMPUTED_VALUE"""),"ACWI")</f>
        <v>ACWI</v>
      </c>
      <c r="D7" s="17">
        <f>IFERROR(__xludf.DUMMYFUNCTION("""COMPUTED_VALUE"""),0.2079)</f>
        <v>0.2079</v>
      </c>
      <c r="E7" s="17">
        <f>IFERROR(__xludf.DUMMYFUNCTION("""COMPUTED_VALUE"""),25.0)</f>
        <v>25</v>
      </c>
      <c r="F7" s="17"/>
      <c r="G7" s="17">
        <f>IFERROR(__xludf.DUMMYFUNCTION("""COMPUTED_VALUE"""),120.24)</f>
        <v>120.24</v>
      </c>
      <c r="H7" s="20">
        <f>IFERROR(__xludf.DUMMYFUNCTION("""COMPUTED_VALUE"""),0.15)</f>
        <v>0.15</v>
      </c>
      <c r="I7" s="17"/>
      <c r="J7" s="20">
        <f>IFERROR(__xludf.DUMMYFUNCTION("""COMPUTED_VALUE"""),25.15)</f>
        <v>25.15</v>
      </c>
      <c r="K7" s="17">
        <f t="shared" si="1"/>
        <v>0.2079</v>
      </c>
      <c r="L7" s="20">
        <f t="shared" si="4"/>
        <v>25.15</v>
      </c>
      <c r="M7" s="17">
        <f t="shared" si="2"/>
        <v>120.971621</v>
      </c>
      <c r="N7" s="17" t="str">
        <f t="shared" si="3"/>
        <v/>
      </c>
    </row>
    <row r="8">
      <c r="A8" s="17" t="str">
        <f>IFERROR(__xludf.DUMMYFUNCTION("""COMPUTED_VALUE"""),"Compra")</f>
        <v>Compra</v>
      </c>
      <c r="B8" s="19">
        <f>IFERROR(__xludf.DUMMYFUNCTION("""COMPUTED_VALUE"""),45617.0)</f>
        <v>45617</v>
      </c>
      <c r="C8" s="17" t="str">
        <f>IFERROR(__xludf.DUMMYFUNCTION("""COMPUTED_VALUE"""),"BTCUSD")</f>
        <v>BTCUSD</v>
      </c>
      <c r="D8" s="17">
        <f>IFERROR(__xludf.DUMMYFUNCTION("""COMPUTED_VALUE"""),2.086E-4)</f>
        <v>0.0002086</v>
      </c>
      <c r="E8" s="17">
        <f>IFERROR(__xludf.DUMMYFUNCTION("""COMPUTED_VALUE"""),20.53)</f>
        <v>20.53</v>
      </c>
      <c r="F8" s="17"/>
      <c r="G8" s="17">
        <f>IFERROR(__xludf.DUMMYFUNCTION("""COMPUTED_VALUE"""),98418.0)</f>
        <v>98418</v>
      </c>
      <c r="H8" s="20">
        <f>IFERROR(__xludf.DUMMYFUNCTION("""COMPUTED_VALUE"""),0.21)</f>
        <v>0.21</v>
      </c>
      <c r="I8" s="17"/>
      <c r="J8" s="20">
        <f>IFERROR(__xludf.DUMMYFUNCTION("""COMPUTED_VALUE"""),20.74)</f>
        <v>20.74</v>
      </c>
      <c r="K8" s="17">
        <f t="shared" si="1"/>
        <v>0.0002086</v>
      </c>
      <c r="L8" s="20">
        <f t="shared" si="4"/>
        <v>20.74</v>
      </c>
      <c r="M8" s="17">
        <f t="shared" si="2"/>
        <v>99424.73634</v>
      </c>
      <c r="N8" s="17" t="str">
        <f t="shared" si="3"/>
        <v/>
      </c>
    </row>
    <row r="9">
      <c r="A9" s="17" t="str">
        <f>IFERROR(__xludf.DUMMYFUNCTION("""COMPUTED_VALUE"""),"Venta")</f>
        <v>Venta</v>
      </c>
      <c r="B9" s="19">
        <f>IFERROR(__xludf.DUMMYFUNCTION("""COMPUTED_VALUE"""),45639.0)</f>
        <v>45639</v>
      </c>
      <c r="C9" s="17" t="str">
        <f>IFERROR(__xludf.DUMMYFUNCTION("""COMPUTED_VALUE"""),"BTCUSD")</f>
        <v>BTCUSD</v>
      </c>
      <c r="D9" s="17">
        <f>IFERROR(__xludf.DUMMYFUNCTION("""COMPUTED_VALUE"""),4.7651E-4)</f>
        <v>0.00047651</v>
      </c>
      <c r="E9" s="17">
        <f>IFERROR(__xludf.DUMMYFUNCTION("""COMPUTED_VALUE"""),48.71)</f>
        <v>48.71</v>
      </c>
      <c r="F9" s="17"/>
      <c r="G9" s="17">
        <f>IFERROR(__xludf.DUMMYFUNCTION("""COMPUTED_VALUE"""),102222.4)</f>
        <v>102222.4</v>
      </c>
      <c r="H9" s="20">
        <f>IFERROR(__xludf.DUMMYFUNCTION("""COMPUTED_VALUE"""),0.49)</f>
        <v>0.49</v>
      </c>
      <c r="I9" s="17"/>
      <c r="J9" s="20">
        <f>IFERROR(__xludf.DUMMYFUNCTION("""COMPUTED_VALUE"""),48.22)</f>
        <v>48.22</v>
      </c>
      <c r="K9" s="17">
        <f t="shared" si="1"/>
        <v>-0.00047651</v>
      </c>
      <c r="L9" s="17">
        <f t="shared" si="4"/>
        <v>0</v>
      </c>
      <c r="M9" s="17">
        <f t="shared" si="2"/>
        <v>0</v>
      </c>
      <c r="N9" s="20">
        <f t="shared" si="3"/>
        <v>48.22</v>
      </c>
    </row>
    <row r="10">
      <c r="A10" s="17" t="str">
        <f>IFERROR(__xludf.DUMMYFUNCTION("""COMPUTED_VALUE"""),"Compra")</f>
        <v>Compra</v>
      </c>
      <c r="B10" s="19">
        <f>IFERROR(__xludf.DUMMYFUNCTION("""COMPUTED_VALUE"""),45644.0)</f>
        <v>45644</v>
      </c>
      <c r="C10" s="17" t="str">
        <f>IFERROR(__xludf.DUMMYFUNCTION("""COMPUTED_VALUE"""),"BTCUSD")</f>
        <v>BTCUSD</v>
      </c>
      <c r="D10" s="17">
        <f>IFERROR(__xludf.DUMMYFUNCTION("""COMPUTED_VALUE"""),4.6992E-4)</f>
        <v>0.00046992</v>
      </c>
      <c r="E10" s="17">
        <f>IFERROR(__xludf.DUMMYFUNCTION("""COMPUTED_VALUE"""),47.5)</f>
        <v>47.5</v>
      </c>
      <c r="F10" s="17"/>
      <c r="G10" s="17">
        <f>IFERROR(__xludf.DUMMYFUNCTION("""COMPUTED_VALUE"""),101081.04)</f>
        <v>101081.04</v>
      </c>
      <c r="H10" s="20">
        <f>IFERROR(__xludf.DUMMYFUNCTION("""COMPUTED_VALUE"""),0.48)</f>
        <v>0.48</v>
      </c>
      <c r="I10" s="17"/>
      <c r="J10" s="20">
        <f>IFERROR(__xludf.DUMMYFUNCTION("""COMPUTED_VALUE"""),47.98)</f>
        <v>47.98</v>
      </c>
      <c r="K10" s="17">
        <f t="shared" si="1"/>
        <v>0.00046992</v>
      </c>
      <c r="L10" s="20">
        <f t="shared" si="4"/>
        <v>47.98</v>
      </c>
      <c r="M10" s="17">
        <f t="shared" si="2"/>
        <v>102102.4855</v>
      </c>
      <c r="N10" s="17" t="str">
        <f t="shared" si="3"/>
        <v/>
      </c>
    </row>
    <row r="11">
      <c r="A11" s="17" t="str">
        <f>IFERROR(__xludf.DUMMYFUNCTION("""COMPUTED_VALUE"""),"Depósito")</f>
        <v>Depósito</v>
      </c>
      <c r="B11" s="19">
        <f>IFERROR(__xludf.DUMMYFUNCTION("""COMPUTED_VALUE"""),45646.0)</f>
        <v>45646</v>
      </c>
      <c r="C11" s="17"/>
      <c r="D11" s="17"/>
      <c r="E11" s="17">
        <f>IFERROR(__xludf.DUMMYFUNCTION("""COMPUTED_VALUE"""),45.0)</f>
        <v>45</v>
      </c>
      <c r="F11" s="17">
        <f>IFERROR(__xludf.DUMMYFUNCTION("""COMPUTED_VALUE"""),210413.0)</f>
        <v>210413</v>
      </c>
      <c r="G11" s="17"/>
      <c r="H11" s="20"/>
      <c r="I11" s="17"/>
      <c r="J11" s="20">
        <f>IFERROR(__xludf.DUMMYFUNCTION("""COMPUTED_VALUE"""),45.0)</f>
        <v>45</v>
      </c>
      <c r="K11" s="17" t="str">
        <f t="shared" si="1"/>
        <v/>
      </c>
      <c r="L11" s="17" t="str">
        <f t="shared" si="4"/>
        <v/>
      </c>
      <c r="M11" s="17" t="str">
        <f t="shared" si="2"/>
        <v>#DIV/0!</v>
      </c>
      <c r="N11" s="17" t="str">
        <f t="shared" si="3"/>
        <v/>
      </c>
    </row>
    <row r="12">
      <c r="A12" s="17" t="str">
        <f>IFERROR(__xludf.DUMMYFUNCTION("""COMPUTED_VALUE"""),"Compra")</f>
        <v>Compra</v>
      </c>
      <c r="B12" s="19">
        <f>IFERROR(__xludf.DUMMYFUNCTION("""COMPUTED_VALUE"""),45646.0)</f>
        <v>45646</v>
      </c>
      <c r="C12" s="17" t="str">
        <f>IFERROR(__xludf.DUMMYFUNCTION("""COMPUTED_VALUE"""),"NU")</f>
        <v>NU</v>
      </c>
      <c r="D12" s="17">
        <f>IFERROR(__xludf.DUMMYFUNCTION("""COMPUTED_VALUE"""),4.33108)</f>
        <v>4.33108</v>
      </c>
      <c r="E12" s="17">
        <f>IFERROR(__xludf.DUMMYFUNCTION("""COMPUTED_VALUE"""),45.0)</f>
        <v>45</v>
      </c>
      <c r="F12" s="17"/>
      <c r="G12" s="17">
        <f>IFERROR(__xludf.DUMMYFUNCTION("""COMPUTED_VALUE"""),10.39)</f>
        <v>10.39</v>
      </c>
      <c r="H12" s="20">
        <f>IFERROR(__xludf.DUMMYFUNCTION("""COMPUTED_VALUE"""),0.15)</f>
        <v>0.15</v>
      </c>
      <c r="I12" s="17"/>
      <c r="J12" s="20">
        <f>IFERROR(__xludf.DUMMYFUNCTION("""COMPUTED_VALUE"""),45.15)</f>
        <v>45.15</v>
      </c>
      <c r="K12" s="17">
        <f t="shared" si="1"/>
        <v>4.33108</v>
      </c>
      <c r="L12" s="20">
        <f t="shared" si="4"/>
        <v>45.15</v>
      </c>
      <c r="M12" s="17">
        <f t="shared" si="2"/>
        <v>10.42465159</v>
      </c>
      <c r="N12" s="17" t="str">
        <f t="shared" si="3"/>
        <v/>
      </c>
    </row>
    <row r="13">
      <c r="A13" s="17" t="str">
        <f>IFERROR(__xludf.DUMMYFUNCTION("""COMPUTED_VALUE"""),"Dividendo")</f>
        <v>Dividendo</v>
      </c>
      <c r="B13" s="19">
        <f>IFERROR(__xludf.DUMMYFUNCTION("""COMPUTED_VALUE"""),45649.0)</f>
        <v>45649</v>
      </c>
      <c r="C13" s="17" t="str">
        <f>IFERROR(__xludf.DUMMYFUNCTION("""COMPUTED_VALUE"""),"ACWI")</f>
        <v>ACWI</v>
      </c>
      <c r="D13" s="17"/>
      <c r="E13" s="17">
        <f>IFERROR(__xludf.DUMMYFUNCTION("""COMPUTED_VALUE"""),-0.13)</f>
        <v>-0.13</v>
      </c>
      <c r="F13" s="17"/>
      <c r="G13" s="17"/>
      <c r="H13" s="20"/>
      <c r="I13" s="17"/>
      <c r="J13" s="20">
        <f>IFERROR(__xludf.DUMMYFUNCTION("""COMPUTED_VALUE"""),-0.13)</f>
        <v>-0.13</v>
      </c>
      <c r="K13" s="17">
        <f t="shared" si="1"/>
        <v>0</v>
      </c>
      <c r="L13" s="17">
        <f t="shared" si="4"/>
        <v>0</v>
      </c>
      <c r="M13" s="17">
        <f t="shared" si="2"/>
        <v>0</v>
      </c>
      <c r="N13" s="20">
        <f t="shared" si="3"/>
        <v>-0.13</v>
      </c>
    </row>
    <row r="14">
      <c r="A14" s="17" t="str">
        <f>IFERROR(__xludf.DUMMYFUNCTION("""COMPUTED_VALUE"""),"Dividendo")</f>
        <v>Dividendo</v>
      </c>
      <c r="B14" s="19">
        <f>IFERROR(__xludf.DUMMYFUNCTION("""COMPUTED_VALUE"""),45649.0)</f>
        <v>45649</v>
      </c>
      <c r="C14" s="17" t="str">
        <f>IFERROR(__xludf.DUMMYFUNCTION("""COMPUTED_VALUE"""),"ACWI")</f>
        <v>ACWI</v>
      </c>
      <c r="D14" s="17"/>
      <c r="E14" s="17">
        <f>IFERROR(__xludf.DUMMYFUNCTION("""COMPUTED_VALUE"""),0.42)</f>
        <v>0.42</v>
      </c>
      <c r="F14" s="17"/>
      <c r="G14" s="17"/>
      <c r="H14" s="20"/>
      <c r="I14" s="17"/>
      <c r="J14" s="20">
        <f>IFERROR(__xludf.DUMMYFUNCTION("""COMPUTED_VALUE"""),0.42)</f>
        <v>0.42</v>
      </c>
      <c r="K14" s="17">
        <f t="shared" si="1"/>
        <v>0</v>
      </c>
      <c r="L14" s="17">
        <f t="shared" si="4"/>
        <v>0</v>
      </c>
      <c r="M14" s="17">
        <f t="shared" si="2"/>
        <v>0</v>
      </c>
      <c r="N14" s="20">
        <f t="shared" si="3"/>
        <v>0.42</v>
      </c>
    </row>
    <row r="15">
      <c r="A15" s="17" t="str">
        <f>IFERROR(__xludf.DUMMYFUNCTION("""COMPUTED_VALUE"""),"Depósito")</f>
        <v>Depósito</v>
      </c>
      <c r="B15" s="19">
        <f>IFERROR(__xludf.DUMMYFUNCTION("""COMPUTED_VALUE"""),45678.0)</f>
        <v>45678</v>
      </c>
      <c r="C15" s="17"/>
      <c r="D15" s="17"/>
      <c r="E15" s="17">
        <f>IFERROR(__xludf.DUMMYFUNCTION("""COMPUTED_VALUE"""),50.0)</f>
        <v>50</v>
      </c>
      <c r="F15" s="17">
        <f>IFERROR(__xludf.DUMMYFUNCTION("""COMPUTED_VALUE"""),228662.0)</f>
        <v>228662</v>
      </c>
      <c r="G15" s="17"/>
      <c r="H15" s="20"/>
      <c r="I15" s="17"/>
      <c r="J15" s="20">
        <f>IFERROR(__xludf.DUMMYFUNCTION("""COMPUTED_VALUE"""),50.0)</f>
        <v>50</v>
      </c>
      <c r="K15" s="17" t="str">
        <f t="shared" si="1"/>
        <v/>
      </c>
      <c r="L15" s="17" t="str">
        <f t="shared" si="4"/>
        <v/>
      </c>
      <c r="M15" s="17" t="str">
        <f t="shared" si="2"/>
        <v>#DIV/0!</v>
      </c>
      <c r="N15" s="17" t="str">
        <f t="shared" si="3"/>
        <v/>
      </c>
    </row>
    <row r="16">
      <c r="A16" s="17" t="str">
        <f>IFERROR(__xludf.DUMMYFUNCTION("""COMPUTED_VALUE"""),"Compra")</f>
        <v>Compra</v>
      </c>
      <c r="B16" s="19">
        <f>IFERROR(__xludf.DUMMYFUNCTION("""COMPUTED_VALUE"""),45679.0)</f>
        <v>45679</v>
      </c>
      <c r="C16" s="17" t="str">
        <f>IFERROR(__xludf.DUMMYFUNCTION("""COMPUTED_VALUE"""),"BTCUSD")</f>
        <v>BTCUSD</v>
      </c>
      <c r="D16" s="17">
        <f>IFERROR(__xludf.DUMMYFUNCTION("""COMPUTED_VALUE"""),4.742E-5)</f>
        <v>0.00004742</v>
      </c>
      <c r="E16" s="17">
        <f>IFERROR(__xludf.DUMMYFUNCTION("""COMPUTED_VALUE"""),5.0)</f>
        <v>5</v>
      </c>
      <c r="F16" s="17"/>
      <c r="G16" s="17">
        <f>IFERROR(__xludf.DUMMYFUNCTION("""COMPUTED_VALUE"""),105440.74)</f>
        <v>105440.74</v>
      </c>
      <c r="H16" s="20">
        <f>IFERROR(__xludf.DUMMYFUNCTION("""COMPUTED_VALUE"""),0.05)</f>
        <v>0.05</v>
      </c>
      <c r="I16" s="17"/>
      <c r="J16" s="20">
        <f>IFERROR(__xludf.DUMMYFUNCTION("""COMPUTED_VALUE"""),5.05)</f>
        <v>5.05</v>
      </c>
      <c r="K16" s="17">
        <f t="shared" si="1"/>
        <v>0.00004742</v>
      </c>
      <c r="L16" s="20">
        <f t="shared" si="4"/>
        <v>5.05</v>
      </c>
      <c r="M16" s="17">
        <f t="shared" si="2"/>
        <v>106495.1497</v>
      </c>
      <c r="N16" s="17" t="str">
        <f t="shared" si="3"/>
        <v/>
      </c>
    </row>
    <row r="17">
      <c r="A17" s="17" t="str">
        <f>IFERROR(__xludf.DUMMYFUNCTION("""COMPUTED_VALUE"""),"Compra")</f>
        <v>Compra</v>
      </c>
      <c r="B17" s="19">
        <f>IFERROR(__xludf.DUMMYFUNCTION("""COMPUTED_VALUE"""),45680.0)</f>
        <v>45680</v>
      </c>
      <c r="C17" s="17" t="str">
        <f>IFERROR(__xludf.DUMMYFUNCTION("""COMPUTED_VALUE"""),"ACWI")</f>
        <v>ACWI</v>
      </c>
      <c r="D17" s="17">
        <f>IFERROR(__xludf.DUMMYFUNCTION("""COMPUTED_VALUE"""),0.24657)</f>
        <v>0.24657</v>
      </c>
      <c r="E17" s="17">
        <f>IFERROR(__xludf.DUMMYFUNCTION("""COMPUTED_VALUE"""),30.0)</f>
        <v>30</v>
      </c>
      <c r="F17" s="17"/>
      <c r="G17" s="17">
        <f>IFERROR(__xludf.DUMMYFUNCTION("""COMPUTED_VALUE"""),121.67)</f>
        <v>121.67</v>
      </c>
      <c r="H17" s="20">
        <f>IFERROR(__xludf.DUMMYFUNCTION("""COMPUTED_VALUE"""),0.15)</f>
        <v>0.15</v>
      </c>
      <c r="I17" s="17"/>
      <c r="J17" s="20">
        <f>IFERROR(__xludf.DUMMYFUNCTION("""COMPUTED_VALUE"""),30.15)</f>
        <v>30.15</v>
      </c>
      <c r="K17" s="17">
        <f t="shared" si="1"/>
        <v>0.24657</v>
      </c>
      <c r="L17" s="20">
        <f t="shared" si="4"/>
        <v>30.15</v>
      </c>
      <c r="M17" s="17">
        <f t="shared" si="2"/>
        <v>122.2776493</v>
      </c>
      <c r="N17" s="17" t="str">
        <f t="shared" si="3"/>
        <v/>
      </c>
    </row>
    <row r="18">
      <c r="A18" s="17" t="str">
        <f>IFERROR(__xludf.DUMMYFUNCTION("""COMPUTED_VALUE"""),"Compra")</f>
        <v>Compra</v>
      </c>
      <c r="B18" s="19">
        <f>IFERROR(__xludf.DUMMYFUNCTION("""COMPUTED_VALUE"""),45680.0)</f>
        <v>45680</v>
      </c>
      <c r="C18" s="17" t="str">
        <f>IFERROR(__xludf.DUMMYFUNCTION("""COMPUTED_VALUE"""),"VOO")</f>
        <v>VOO</v>
      </c>
      <c r="D18" s="17">
        <f>IFERROR(__xludf.DUMMYFUNCTION("""COMPUTED_VALUE"""),0.02685)</f>
        <v>0.02685</v>
      </c>
      <c r="E18" s="17">
        <f>IFERROR(__xludf.DUMMYFUNCTION("""COMPUTED_VALUE"""),15.0)</f>
        <v>15</v>
      </c>
      <c r="F18" s="17"/>
      <c r="G18" s="17">
        <f>IFERROR(__xludf.DUMMYFUNCTION("""COMPUTED_VALUE"""),558.62)</f>
        <v>558.62</v>
      </c>
      <c r="H18" s="20">
        <f>IFERROR(__xludf.DUMMYFUNCTION("""COMPUTED_VALUE"""),0.15)</f>
        <v>0.15</v>
      </c>
      <c r="I18" s="17"/>
      <c r="J18" s="20">
        <f>IFERROR(__xludf.DUMMYFUNCTION("""COMPUTED_VALUE"""),15.15)</f>
        <v>15.15</v>
      </c>
      <c r="K18" s="17">
        <f t="shared" si="1"/>
        <v>0.02685</v>
      </c>
      <c r="L18" s="20">
        <f t="shared" si="4"/>
        <v>15.15</v>
      </c>
      <c r="M18" s="17">
        <f t="shared" si="2"/>
        <v>564.2458101</v>
      </c>
      <c r="N18" s="17" t="str">
        <f t="shared" si="3"/>
        <v/>
      </c>
    </row>
    <row r="19">
      <c r="A19" s="17" t="str">
        <f>IFERROR(__xludf.DUMMYFUNCTION("""COMPUTED_VALUE"""),"Venta")</f>
        <v>Venta</v>
      </c>
      <c r="B19" s="19">
        <f>IFERROR(__xludf.DUMMYFUNCTION("""COMPUTED_VALUE"""),45687.0)</f>
        <v>45687</v>
      </c>
      <c r="C19" s="17" t="str">
        <f>IFERROR(__xludf.DUMMYFUNCTION("""COMPUTED_VALUE"""),"VOO")</f>
        <v>VOO</v>
      </c>
      <c r="D19" s="17">
        <f>IFERROR(__xludf.DUMMYFUNCTION("""COMPUTED_VALUE"""),0.02685)</f>
        <v>0.02685</v>
      </c>
      <c r="E19" s="17">
        <f>IFERROR(__xludf.DUMMYFUNCTION("""COMPUTED_VALUE"""),14.9)</f>
        <v>14.9</v>
      </c>
      <c r="F19" s="17"/>
      <c r="G19" s="17">
        <f>IFERROR(__xludf.DUMMYFUNCTION("""COMPUTED_VALUE"""),554.79)</f>
        <v>554.79</v>
      </c>
      <c r="H19" s="20">
        <f>IFERROR(__xludf.DUMMYFUNCTION("""COMPUTED_VALUE"""),0.16)</f>
        <v>0.16</v>
      </c>
      <c r="I19" s="17"/>
      <c r="J19" s="20">
        <f>IFERROR(__xludf.DUMMYFUNCTION("""COMPUTED_VALUE"""),14.74)</f>
        <v>14.74</v>
      </c>
      <c r="K19" s="17">
        <f t="shared" si="1"/>
        <v>-0.02685</v>
      </c>
      <c r="L19" s="17">
        <f t="shared" si="4"/>
        <v>0</v>
      </c>
      <c r="M19" s="17">
        <f t="shared" si="2"/>
        <v>0</v>
      </c>
      <c r="N19" s="20">
        <f t="shared" si="3"/>
        <v>14.74</v>
      </c>
    </row>
    <row r="20">
      <c r="A20" s="17" t="str">
        <f>IFERROR(__xludf.DUMMYFUNCTION("""COMPUTED_VALUE"""),"Compra")</f>
        <v>Compra</v>
      </c>
      <c r="B20" s="19">
        <f>IFERROR(__xludf.DUMMYFUNCTION("""COMPUTED_VALUE"""),45688.0)</f>
        <v>45688</v>
      </c>
      <c r="C20" s="17" t="str">
        <f>IFERROR(__xludf.DUMMYFUNCTION("""COMPUTED_VALUE"""),"NVDA")</f>
        <v>NVDA</v>
      </c>
      <c r="D20" s="17">
        <f>IFERROR(__xludf.DUMMYFUNCTION("""COMPUTED_VALUE"""),0.10995)</f>
        <v>0.10995</v>
      </c>
      <c r="E20" s="17">
        <f>IFERROR(__xludf.DUMMYFUNCTION("""COMPUTED_VALUE"""),14.0)</f>
        <v>14</v>
      </c>
      <c r="F20" s="17"/>
      <c r="G20" s="17">
        <f>IFERROR(__xludf.DUMMYFUNCTION("""COMPUTED_VALUE"""),127.32)</f>
        <v>127.32</v>
      </c>
      <c r="H20" s="20">
        <f>IFERROR(__xludf.DUMMYFUNCTION("""COMPUTED_VALUE"""),0.15)</f>
        <v>0.15</v>
      </c>
      <c r="I20" s="17"/>
      <c r="J20" s="20">
        <f>IFERROR(__xludf.DUMMYFUNCTION("""COMPUTED_VALUE"""),14.15)</f>
        <v>14.15</v>
      </c>
      <c r="K20" s="17">
        <f t="shared" si="1"/>
        <v>0.10995</v>
      </c>
      <c r="L20" s="20">
        <f t="shared" si="4"/>
        <v>14.15</v>
      </c>
      <c r="M20" s="17">
        <f t="shared" si="2"/>
        <v>128.6948613</v>
      </c>
      <c r="N20" s="17" t="str">
        <f t="shared" si="3"/>
        <v/>
      </c>
    </row>
    <row r="21">
      <c r="A21" s="17" t="str">
        <f>IFERROR(__xludf.DUMMYFUNCTION("""COMPUTED_VALUE"""),"Venta")</f>
        <v>Venta</v>
      </c>
      <c r="B21" s="19">
        <f>IFERROR(__xludf.DUMMYFUNCTION("""COMPUTED_VALUE"""),45708.0)</f>
        <v>45708</v>
      </c>
      <c r="C21" s="17" t="str">
        <f>IFERROR(__xludf.DUMMYFUNCTION("""COMPUTED_VALUE"""),"NU")</f>
        <v>NU</v>
      </c>
      <c r="D21" s="17">
        <f>IFERROR(__xludf.DUMMYFUNCTION("""COMPUTED_VALUE"""),3.37)</f>
        <v>3.37</v>
      </c>
      <c r="E21" s="17"/>
      <c r="F21" s="17"/>
      <c r="G21" s="17">
        <f>IFERROR(__xludf.DUMMYFUNCTION("""COMPUTED_VALUE"""),13.38)</f>
        <v>13.38</v>
      </c>
      <c r="H21" s="20">
        <f>IFERROR(__xludf.DUMMYFUNCTION("""COMPUTED_VALUE"""),0.01)</f>
        <v>0.01</v>
      </c>
      <c r="I21" s="17"/>
      <c r="J21" s="20">
        <f>IFERROR(__xludf.DUMMYFUNCTION("""COMPUTED_VALUE"""),44.99)</f>
        <v>44.99</v>
      </c>
      <c r="K21" s="17">
        <f t="shared" si="1"/>
        <v>-3.37</v>
      </c>
      <c r="L21" s="17">
        <f t="shared" si="4"/>
        <v>0</v>
      </c>
      <c r="M21" s="17">
        <f t="shared" si="2"/>
        <v>0</v>
      </c>
      <c r="N21" s="20">
        <f t="shared" si="3"/>
        <v>44.99</v>
      </c>
    </row>
    <row r="22">
      <c r="A22" s="17" t="str">
        <f>IFERROR(__xludf.DUMMYFUNCTION("""COMPUTED_VALUE"""),"Depósito")</f>
        <v>Depósito</v>
      </c>
      <c r="B22" s="19">
        <f>IFERROR(__xludf.DUMMYFUNCTION("""COMPUTED_VALUE"""),45709.0)</f>
        <v>45709</v>
      </c>
      <c r="C22" s="17"/>
      <c r="D22" s="17"/>
      <c r="E22" s="17">
        <f>IFERROR(__xludf.DUMMYFUNCTION("""COMPUTED_VALUE"""),50.0)</f>
        <v>50</v>
      </c>
      <c r="F22" s="17">
        <f>IFERROR(__xludf.DUMMYFUNCTION("""COMPUTED_VALUE"""),218172.0)</f>
        <v>218172</v>
      </c>
      <c r="G22" s="17"/>
      <c r="H22" s="20"/>
      <c r="I22" s="17"/>
      <c r="J22" s="20">
        <f>IFERROR(__xludf.DUMMYFUNCTION("""COMPUTED_VALUE"""),50.0)</f>
        <v>50</v>
      </c>
      <c r="K22" s="17" t="str">
        <f t="shared" si="1"/>
        <v/>
      </c>
      <c r="L22" s="17" t="str">
        <f t="shared" si="4"/>
        <v/>
      </c>
      <c r="M22" s="17" t="str">
        <f t="shared" si="2"/>
        <v>#DIV/0!</v>
      </c>
      <c r="N22" s="17" t="str">
        <f t="shared" si="3"/>
        <v/>
      </c>
    </row>
    <row r="23">
      <c r="A23" s="17" t="str">
        <f>IFERROR(__xludf.DUMMYFUNCTION("""COMPUTED_VALUE"""),"Compra")</f>
        <v>Compra</v>
      </c>
      <c r="B23" s="19">
        <f>IFERROR(__xludf.DUMMYFUNCTION("""COMPUTED_VALUE"""),45709.0)</f>
        <v>45709</v>
      </c>
      <c r="C23" s="17" t="str">
        <f>IFERROR(__xludf.DUMMYFUNCTION("""COMPUTED_VALUE"""),"GLD")</f>
        <v>GLD</v>
      </c>
      <c r="D23" s="17">
        <f>IFERROR(__xludf.DUMMYFUNCTION("""COMPUTED_VALUE"""),0.0702)</f>
        <v>0.0702</v>
      </c>
      <c r="E23" s="17">
        <f>IFERROR(__xludf.DUMMYFUNCTION("""COMPUTED_VALUE"""),19.0)</f>
        <v>19</v>
      </c>
      <c r="F23" s="17"/>
      <c r="G23" s="17">
        <f>IFERROR(__xludf.DUMMYFUNCTION("""COMPUTED_VALUE"""),270.64)</f>
        <v>270.64</v>
      </c>
      <c r="H23" s="20">
        <f>IFERROR(__xludf.DUMMYFUNCTION("""COMPUTED_VALUE"""),0.15)</f>
        <v>0.15</v>
      </c>
      <c r="I23" s="17"/>
      <c r="J23" s="20">
        <f>IFERROR(__xludf.DUMMYFUNCTION("""COMPUTED_VALUE"""),19.15)</f>
        <v>19.15</v>
      </c>
      <c r="K23" s="17">
        <f t="shared" si="1"/>
        <v>0.0702</v>
      </c>
      <c r="L23" s="20">
        <f t="shared" si="4"/>
        <v>19.15</v>
      </c>
      <c r="M23" s="17">
        <f t="shared" si="2"/>
        <v>272.7920228</v>
      </c>
      <c r="N23" s="17" t="str">
        <f t="shared" si="3"/>
        <v/>
      </c>
    </row>
    <row r="24">
      <c r="A24" s="17" t="str">
        <f>IFERROR(__xludf.DUMMYFUNCTION("""COMPUTED_VALUE"""),"Compra")</f>
        <v>Compra</v>
      </c>
      <c r="B24" s="19">
        <f>IFERROR(__xludf.DUMMYFUNCTION("""COMPUTED_VALUE"""),45709.0)</f>
        <v>45709</v>
      </c>
      <c r="C24" s="17" t="str">
        <f>IFERROR(__xludf.DUMMYFUNCTION("""COMPUTED_VALUE"""),"EEM")</f>
        <v>EEM</v>
      </c>
      <c r="D24" s="17">
        <f>IFERROR(__xludf.DUMMYFUNCTION("""COMPUTED_VALUE"""),0.52866)</f>
        <v>0.52866</v>
      </c>
      <c r="E24" s="17">
        <f>IFERROR(__xludf.DUMMYFUNCTION("""COMPUTED_VALUE"""),24.0)</f>
        <v>24</v>
      </c>
      <c r="F24" s="17"/>
      <c r="G24" s="17">
        <f>IFERROR(__xludf.DUMMYFUNCTION("""COMPUTED_VALUE"""),45.4)</f>
        <v>45.4</v>
      </c>
      <c r="H24" s="20">
        <f>IFERROR(__xludf.DUMMYFUNCTION("""COMPUTED_VALUE"""),0.15)</f>
        <v>0.15</v>
      </c>
      <c r="I24" s="17"/>
      <c r="J24" s="20">
        <f>IFERROR(__xludf.DUMMYFUNCTION("""COMPUTED_VALUE"""),24.15)</f>
        <v>24.15</v>
      </c>
      <c r="K24" s="17">
        <f t="shared" si="1"/>
        <v>0.52866</v>
      </c>
      <c r="L24" s="20">
        <f t="shared" si="4"/>
        <v>24.15</v>
      </c>
      <c r="M24" s="17">
        <f t="shared" si="2"/>
        <v>45.68153445</v>
      </c>
      <c r="N24" s="17" t="str">
        <f t="shared" si="3"/>
        <v/>
      </c>
    </row>
    <row r="25">
      <c r="A25" s="17" t="str">
        <f>IFERROR(__xludf.DUMMYFUNCTION("""COMPUTED_VALUE"""),"Compra")</f>
        <v>Compra</v>
      </c>
      <c r="B25" s="19">
        <f>IFERROR(__xludf.DUMMYFUNCTION("""COMPUTED_VALUE"""),45709.0)</f>
        <v>45709</v>
      </c>
      <c r="C25" s="17" t="str">
        <f>IFERROR(__xludf.DUMMYFUNCTION("""COMPUTED_VALUE"""),"VEU")</f>
        <v>VEU</v>
      </c>
      <c r="D25" s="17">
        <f>IFERROR(__xludf.DUMMYFUNCTION("""COMPUTED_VALUE"""),0.61511)</f>
        <v>0.61511</v>
      </c>
      <c r="E25" s="17">
        <f>IFERROR(__xludf.DUMMYFUNCTION("""COMPUTED_VALUE"""),38.0)</f>
        <v>38</v>
      </c>
      <c r="F25" s="17"/>
      <c r="G25" s="17">
        <f>IFERROR(__xludf.DUMMYFUNCTION("""COMPUTED_VALUE"""),61.77)</f>
        <v>61.77</v>
      </c>
      <c r="H25" s="20">
        <f>IFERROR(__xludf.DUMMYFUNCTION("""COMPUTED_VALUE"""),0.15)</f>
        <v>0.15</v>
      </c>
      <c r="I25" s="17"/>
      <c r="J25" s="20">
        <f>IFERROR(__xludf.DUMMYFUNCTION("""COMPUTED_VALUE"""),38.15)</f>
        <v>38.15</v>
      </c>
      <c r="K25" s="17">
        <f t="shared" si="1"/>
        <v>0.61511</v>
      </c>
      <c r="L25" s="20">
        <f t="shared" si="4"/>
        <v>38.15</v>
      </c>
      <c r="M25" s="17">
        <f t="shared" si="2"/>
        <v>62.02142706</v>
      </c>
      <c r="N25" s="17" t="str">
        <f t="shared" si="3"/>
        <v/>
      </c>
    </row>
    <row r="26">
      <c r="A26" s="17" t="str">
        <f>IFERROR(__xludf.DUMMYFUNCTION("""COMPUTED_VALUE"""),"Compra")</f>
        <v>Compra</v>
      </c>
      <c r="B26" s="19">
        <f>IFERROR(__xludf.DUMMYFUNCTION("""COMPUTED_VALUE"""),45709.0)</f>
        <v>45709</v>
      </c>
      <c r="C26" s="17" t="str">
        <f>IFERROR(__xludf.DUMMYFUNCTION("""COMPUTED_VALUE"""),"ETHUSD")</f>
        <v>ETHUSD</v>
      </c>
      <c r="D26" s="17">
        <f>IFERROR(__xludf.DUMMYFUNCTION("""COMPUTED_VALUE"""),0.00353379)</f>
        <v>0.00353379</v>
      </c>
      <c r="E26" s="17">
        <f>IFERROR(__xludf.DUMMYFUNCTION("""COMPUTED_VALUE"""),9.98)</f>
        <v>9.98</v>
      </c>
      <c r="F26" s="17"/>
      <c r="G26" s="17">
        <f>IFERROR(__xludf.DUMMYFUNCTION("""COMPUTED_VALUE"""),2824.16)</f>
        <v>2824.16</v>
      </c>
      <c r="H26" s="20">
        <f>IFERROR(__xludf.DUMMYFUNCTION("""COMPUTED_VALUE"""),0.1)</f>
        <v>0.1</v>
      </c>
      <c r="I26" s="17"/>
      <c r="J26" s="20">
        <f>IFERROR(__xludf.DUMMYFUNCTION("""COMPUTED_VALUE"""),10.8)</f>
        <v>10.8</v>
      </c>
      <c r="K26" s="17">
        <f t="shared" si="1"/>
        <v>0.00353379</v>
      </c>
      <c r="L26" s="20">
        <f t="shared" si="4"/>
        <v>10.8</v>
      </c>
      <c r="M26" s="17">
        <f t="shared" si="2"/>
        <v>3056.208773</v>
      </c>
      <c r="N26" s="17" t="str">
        <f t="shared" si="3"/>
        <v/>
      </c>
    </row>
    <row r="27">
      <c r="A27" s="17" t="str">
        <f>IFERROR(__xludf.DUMMYFUNCTION("""COMPUTED_VALUE"""),"Depósito")</f>
        <v>Depósito</v>
      </c>
      <c r="B27" s="19">
        <f>IFERROR(__xludf.DUMMYFUNCTION("""COMPUTED_VALUE"""),45740.0)</f>
        <v>45740</v>
      </c>
      <c r="C27" s="17" t="str">
        <f>IFERROR(__xludf.DUMMYFUNCTION("""COMPUTED_VALUE"""),"USD")</f>
        <v>USD</v>
      </c>
      <c r="D27" s="17"/>
      <c r="E27" s="17">
        <f>IFERROR(__xludf.DUMMYFUNCTION("""COMPUTED_VALUE"""),50.0)</f>
        <v>50</v>
      </c>
      <c r="F27" s="17"/>
      <c r="G27" s="17"/>
      <c r="H27" s="20"/>
      <c r="I27" s="17"/>
      <c r="J27" s="20">
        <f>IFERROR(__xludf.DUMMYFUNCTION("""COMPUTED_VALUE"""),50.0)</f>
        <v>50</v>
      </c>
      <c r="K27" s="17" t="str">
        <f t="shared" si="1"/>
        <v/>
      </c>
      <c r="L27" s="17" t="str">
        <f t="shared" si="4"/>
        <v/>
      </c>
      <c r="M27" s="17" t="str">
        <f t="shared" si="2"/>
        <v>#DIV/0!</v>
      </c>
      <c r="N27" s="17" t="str">
        <f t="shared" si="3"/>
        <v/>
      </c>
    </row>
    <row r="28">
      <c r="A28" s="17" t="str">
        <f>IFERROR(__xludf.DUMMYFUNCTION("""COMPUTED_VALUE"""),"Dividendo")</f>
        <v>Dividendo</v>
      </c>
      <c r="B28" s="19">
        <f>IFERROR(__xludf.DUMMYFUNCTION("""COMPUTED_VALUE"""),45742.0)</f>
        <v>45742</v>
      </c>
      <c r="C28" s="17" t="str">
        <f>IFERROR(__xludf.DUMMYFUNCTION("""COMPUTED_VALUE"""),"VEU")</f>
        <v>VEU</v>
      </c>
      <c r="D28" s="17"/>
      <c r="E28" s="17">
        <f>IFERROR(__xludf.DUMMYFUNCTION("""COMPUTED_VALUE"""),0.12)</f>
        <v>0.12</v>
      </c>
      <c r="F28" s="17"/>
      <c r="G28" s="17"/>
      <c r="H28" s="20">
        <f>IFERROR(__xludf.DUMMYFUNCTION("""COMPUTED_VALUE"""),0.04)</f>
        <v>0.04</v>
      </c>
      <c r="I28" s="17"/>
      <c r="J28" s="20">
        <f>IFERROR(__xludf.DUMMYFUNCTION("""COMPUTED_VALUE"""),0.08)</f>
        <v>0.08</v>
      </c>
      <c r="K28" s="17">
        <f t="shared" si="1"/>
        <v>0</v>
      </c>
      <c r="L28" s="17">
        <f t="shared" si="4"/>
        <v>0</v>
      </c>
      <c r="M28" s="17">
        <f t="shared" si="2"/>
        <v>0</v>
      </c>
      <c r="N28" s="20">
        <f t="shared" si="3"/>
        <v>0.08</v>
      </c>
    </row>
    <row r="29">
      <c r="A29" s="17" t="str">
        <f>IFERROR(__xludf.DUMMYFUNCTION("""COMPUTED_VALUE"""),"Compra")</f>
        <v>Compra</v>
      </c>
      <c r="B29" s="19">
        <f>IFERROR(__xludf.DUMMYFUNCTION("""COMPUTED_VALUE"""),45745.0)</f>
        <v>45745</v>
      </c>
      <c r="C29" s="17" t="str">
        <f>IFERROR(__xludf.DUMMYFUNCTION("""COMPUTED_VALUE"""),"ETHUSD")</f>
        <v>ETHUSD</v>
      </c>
      <c r="D29" s="17">
        <f>IFERROR(__xludf.DUMMYFUNCTION("""COMPUTED_VALUE"""),0.00431988)</f>
        <v>0.00431988</v>
      </c>
      <c r="E29" s="17">
        <f>IFERROR(__xludf.DUMMYFUNCTION("""COMPUTED_VALUE"""),8.0)</f>
        <v>8</v>
      </c>
      <c r="F29" s="17"/>
      <c r="G29" s="17">
        <f>IFERROR(__xludf.DUMMYFUNCTION("""COMPUTED_VALUE"""),1851.9)</f>
        <v>1851.9</v>
      </c>
      <c r="H29" s="20">
        <f>IFERROR(__xludf.DUMMYFUNCTION("""COMPUTED_VALUE"""),0.08)</f>
        <v>0.08</v>
      </c>
      <c r="I29" s="17"/>
      <c r="J29" s="20">
        <f>IFERROR(__xludf.DUMMYFUNCTION("""COMPUTED_VALUE"""),8.08)</f>
        <v>8.08</v>
      </c>
      <c r="K29" s="17">
        <f t="shared" si="1"/>
        <v>0.00431988</v>
      </c>
      <c r="L29" s="20">
        <f t="shared" si="4"/>
        <v>8.08</v>
      </c>
      <c r="M29" s="17">
        <f t="shared" si="2"/>
        <v>1870.422327</v>
      </c>
      <c r="N29" s="17" t="str">
        <f t="shared" si="3"/>
        <v/>
      </c>
    </row>
    <row r="30">
      <c r="A30" s="17" t="str">
        <f>IFERROR(__xludf.DUMMYFUNCTION("""COMPUTED_VALUE"""),"Compra")</f>
        <v>Compra</v>
      </c>
      <c r="B30" s="19">
        <f>IFERROR(__xludf.DUMMYFUNCTION("""COMPUTED_VALUE"""),45745.0)</f>
        <v>45745</v>
      </c>
      <c r="C30" s="17" t="str">
        <f>IFERROR(__xludf.DUMMYFUNCTION("""COMPUTED_VALUE"""),"BTCUSD")</f>
        <v>BTCUSD</v>
      </c>
      <c r="D30" s="17">
        <f>IFERROR(__xludf.DUMMYFUNCTION("""COMPUTED_VALUE"""),7.264E-5)</f>
        <v>0.00007264</v>
      </c>
      <c r="E30" s="17">
        <f>IFERROR(__xludf.DUMMYFUNCTION("""COMPUTED_VALUE"""),6.0)</f>
        <v>6</v>
      </c>
      <c r="F30" s="17"/>
      <c r="G30" s="17">
        <f>IFERROR(__xludf.DUMMYFUNCTION("""COMPUTED_VALUE"""),82599.11)</f>
        <v>82599.11</v>
      </c>
      <c r="H30" s="20">
        <f>IFERROR(__xludf.DUMMYFUNCTION("""COMPUTED_VALUE"""),0.06)</f>
        <v>0.06</v>
      </c>
      <c r="I30" s="17"/>
      <c r="J30" s="20">
        <f>IFERROR(__xludf.DUMMYFUNCTION("""COMPUTED_VALUE"""),6.06)</f>
        <v>6.06</v>
      </c>
      <c r="K30" s="17">
        <f t="shared" si="1"/>
        <v>0.00007264</v>
      </c>
      <c r="L30" s="20">
        <f t="shared" si="4"/>
        <v>6.06</v>
      </c>
      <c r="M30" s="17">
        <f t="shared" si="2"/>
        <v>83425.11013</v>
      </c>
      <c r="N30" s="17" t="str">
        <f t="shared" si="3"/>
        <v/>
      </c>
    </row>
    <row r="31">
      <c r="A31" s="17" t="str">
        <f>IFERROR(__xludf.DUMMYFUNCTION("""COMPUTED_VALUE"""),"Compra")</f>
        <v>Compra</v>
      </c>
      <c r="B31" s="19">
        <f>IFERROR(__xludf.DUMMYFUNCTION("""COMPUTED_VALUE"""),45750.0)</f>
        <v>45750</v>
      </c>
      <c r="C31" s="17" t="str">
        <f>IFERROR(__xludf.DUMMYFUNCTION("""COMPUTED_VALUE"""),"GLD")</f>
        <v>GLD</v>
      </c>
      <c r="D31" s="17">
        <f>IFERROR(__xludf.DUMMYFUNCTION("""COMPUTED_VALUE"""),0.0279)</f>
        <v>0.0279</v>
      </c>
      <c r="E31" s="17">
        <f>IFERROR(__xludf.DUMMYFUNCTION("""COMPUTED_VALUE"""),8.0)</f>
        <v>8</v>
      </c>
      <c r="F31" s="17"/>
      <c r="G31" s="17">
        <f>IFERROR(__xludf.DUMMYFUNCTION("""COMPUTED_VALUE"""),286.7)</f>
        <v>286.7</v>
      </c>
      <c r="H31" s="20">
        <f>IFERROR(__xludf.DUMMYFUNCTION("""COMPUTED_VALUE"""),0.15)</f>
        <v>0.15</v>
      </c>
      <c r="I31" s="17"/>
      <c r="J31" s="20">
        <f>IFERROR(__xludf.DUMMYFUNCTION("""COMPUTED_VALUE"""),8.15)</f>
        <v>8.15</v>
      </c>
      <c r="K31" s="17">
        <f t="shared" si="1"/>
        <v>0.0279</v>
      </c>
      <c r="L31" s="20">
        <f t="shared" si="4"/>
        <v>8.15</v>
      </c>
      <c r="M31" s="17">
        <f t="shared" si="2"/>
        <v>292.1146953</v>
      </c>
      <c r="N31" s="17" t="str">
        <f t="shared" si="3"/>
        <v/>
      </c>
    </row>
    <row r="32">
      <c r="A32" s="17" t="str">
        <f>IFERROR(__xludf.DUMMYFUNCTION("""COMPUTED_VALUE"""),"Compra")</f>
        <v>Compra</v>
      </c>
      <c r="B32" s="19">
        <f>IFERROR(__xludf.DUMMYFUNCTION("""COMPUTED_VALUE"""),45754.0)</f>
        <v>45754</v>
      </c>
      <c r="C32" s="17" t="str">
        <f>IFERROR(__xludf.DUMMYFUNCTION("""COMPUTED_VALUE"""),"VEU")</f>
        <v>VEU</v>
      </c>
      <c r="D32" s="17">
        <f>IFERROR(__xludf.DUMMYFUNCTION("""COMPUTED_VALUE"""),0.25604)</f>
        <v>0.25604</v>
      </c>
      <c r="E32" s="17">
        <f>IFERROR(__xludf.DUMMYFUNCTION("""COMPUTED_VALUE"""),14.0)</f>
        <v>14</v>
      </c>
      <c r="F32" s="17"/>
      <c r="G32" s="17">
        <f>IFERROR(__xludf.DUMMYFUNCTION("""COMPUTED_VALUE"""),54.67)</f>
        <v>54.67</v>
      </c>
      <c r="H32" s="20">
        <f>IFERROR(__xludf.DUMMYFUNCTION("""COMPUTED_VALUE"""),0.15)</f>
        <v>0.15</v>
      </c>
      <c r="I32" s="17"/>
      <c r="J32" s="20">
        <f>IFERROR(__xludf.DUMMYFUNCTION("""COMPUTED_VALUE"""),14.15)</f>
        <v>14.15</v>
      </c>
      <c r="K32" s="17">
        <f t="shared" si="1"/>
        <v>0.25604</v>
      </c>
      <c r="L32" s="20">
        <f t="shared" si="4"/>
        <v>14.15</v>
      </c>
      <c r="M32" s="17">
        <f t="shared" si="2"/>
        <v>55.26480237</v>
      </c>
      <c r="N32" s="17" t="str">
        <f t="shared" si="3"/>
        <v/>
      </c>
    </row>
    <row r="33">
      <c r="A33" s="17" t="str">
        <f>IFERROR(__xludf.DUMMYFUNCTION("""COMPUTED_VALUE"""),"Compra")</f>
        <v>Compra</v>
      </c>
      <c r="B33" s="19">
        <f>IFERROR(__xludf.DUMMYFUNCTION("""COMPUTED_VALUE"""),45754.0)</f>
        <v>45754</v>
      </c>
      <c r="C33" s="17" t="str">
        <f>IFERROR(__xludf.DUMMYFUNCTION("""COMPUTED_VALUE"""),"EEM")</f>
        <v>EEM</v>
      </c>
      <c r="D33" s="17">
        <f>IFERROR(__xludf.DUMMYFUNCTION("""COMPUTED_VALUE"""),0.30755)</f>
        <v>0.30755</v>
      </c>
      <c r="E33" s="17">
        <f>IFERROR(__xludf.DUMMYFUNCTION("""COMPUTED_VALUE"""),12.0)</f>
        <v>12</v>
      </c>
      <c r="F33" s="17"/>
      <c r="G33" s="17">
        <f>IFERROR(__xludf.DUMMYFUNCTION("""COMPUTED_VALUE"""),39.01)</f>
        <v>39.01</v>
      </c>
      <c r="H33" s="20">
        <f>IFERROR(__xludf.DUMMYFUNCTION("""COMPUTED_VALUE"""),0.15)</f>
        <v>0.15</v>
      </c>
      <c r="I33" s="17"/>
      <c r="J33" s="20">
        <f>IFERROR(__xludf.DUMMYFUNCTION("""COMPUTED_VALUE"""),12.15)</f>
        <v>12.15</v>
      </c>
      <c r="K33" s="17">
        <f t="shared" si="1"/>
        <v>0.30755</v>
      </c>
      <c r="L33" s="20">
        <f t="shared" si="4"/>
        <v>12.15</v>
      </c>
      <c r="M33" s="17">
        <f t="shared" si="2"/>
        <v>39.50577142</v>
      </c>
      <c r="N33" s="17" t="str">
        <f t="shared" si="3"/>
        <v/>
      </c>
    </row>
    <row r="34">
      <c r="A34" s="17" t="str">
        <f>IFERROR(__xludf.DUMMYFUNCTION("""COMPUTED_VALUE"""),"Compra")</f>
        <v>Compra</v>
      </c>
      <c r="B34" s="19">
        <f>IFERROR(__xludf.DUMMYFUNCTION("""COMPUTED_VALUE"""),45754.0)</f>
        <v>45754</v>
      </c>
      <c r="C34" s="17" t="str">
        <f>IFERROR(__xludf.DUMMYFUNCTION("""COMPUTED_VALUE"""),"NVDA")</f>
        <v>NVDA</v>
      </c>
      <c r="D34" s="17">
        <f>IFERROR(__xludf.DUMMYFUNCTION("""COMPUTED_VALUE"""),0.0514)</f>
        <v>0.0514</v>
      </c>
      <c r="E34" s="17">
        <f>IFERROR(__xludf.DUMMYFUNCTION("""COMPUTED_VALUE"""),5.0)</f>
        <v>5</v>
      </c>
      <c r="F34" s="17"/>
      <c r="G34" s="17">
        <f>IFERROR(__xludf.DUMMYFUNCTION("""COMPUTED_VALUE"""),97.26)</f>
        <v>97.26</v>
      </c>
      <c r="H34" s="20">
        <f>IFERROR(__xludf.DUMMYFUNCTION("""COMPUTED_VALUE"""),0.15)</f>
        <v>0.15</v>
      </c>
      <c r="I34" s="17"/>
      <c r="J34" s="20">
        <f>IFERROR(__xludf.DUMMYFUNCTION("""COMPUTED_VALUE"""),5.15)</f>
        <v>5.15</v>
      </c>
      <c r="K34" s="17">
        <f t="shared" si="1"/>
        <v>0.0514</v>
      </c>
      <c r="L34" s="20">
        <f t="shared" si="4"/>
        <v>5.15</v>
      </c>
      <c r="M34" s="17">
        <f t="shared" si="2"/>
        <v>100.1945525</v>
      </c>
      <c r="N34" s="17" t="str">
        <f t="shared" si="3"/>
        <v/>
      </c>
    </row>
    <row r="35">
      <c r="A35" s="17" t="str">
        <f>IFERROR(__xludf.DUMMYFUNCTION("""COMPUTED_VALUE"""),"Depósito")</f>
        <v>Depósito</v>
      </c>
      <c r="B35" s="19">
        <f>IFERROR(__xludf.DUMMYFUNCTION("""COMPUTED_VALUE"""),45769.0)</f>
        <v>45769</v>
      </c>
      <c r="C35" s="17" t="str">
        <f>IFERROR(__xludf.DUMMYFUNCTION("""COMPUTED_VALUE"""),"USD")</f>
        <v>USD</v>
      </c>
      <c r="D35" s="17"/>
      <c r="E35" s="17">
        <f>IFERROR(__xludf.DUMMYFUNCTION("""COMPUTED_VALUE"""),50.0)</f>
        <v>50</v>
      </c>
      <c r="F35" s="17">
        <f>IFERROR(__xludf.DUMMYFUNCTION("""COMPUTED_VALUE"""),225613.0)</f>
        <v>225613</v>
      </c>
      <c r="G35" s="17"/>
      <c r="H35" s="20"/>
      <c r="I35" s="17"/>
      <c r="J35" s="20">
        <f>IFERROR(__xludf.DUMMYFUNCTION("""COMPUTED_VALUE"""),50.0)</f>
        <v>50</v>
      </c>
      <c r="K35" s="17" t="str">
        <f t="shared" si="1"/>
        <v/>
      </c>
      <c r="L35" s="17" t="str">
        <f t="shared" si="4"/>
        <v/>
      </c>
      <c r="M35" s="17" t="str">
        <f t="shared" si="2"/>
        <v>#DIV/0!</v>
      </c>
      <c r="N35" s="17" t="str">
        <f t="shared" si="3"/>
        <v/>
      </c>
    </row>
    <row r="36">
      <c r="A36" s="17" t="str">
        <f>IFERROR(__xludf.DUMMYFUNCTION("""COMPUTED_VALUE"""),"Compra")</f>
        <v>Compra</v>
      </c>
      <c r="B36" s="19">
        <f>IFERROR(__xludf.DUMMYFUNCTION("""COMPUTED_VALUE"""),45770.0)</f>
        <v>45770</v>
      </c>
      <c r="C36" s="17" t="str">
        <f>IFERROR(__xludf.DUMMYFUNCTION("""COMPUTED_VALUE"""),"ACWI")</f>
        <v>ACWI</v>
      </c>
      <c r="D36" s="17">
        <f>IFERROR(__xludf.DUMMYFUNCTION("""COMPUTED_VALUE"""),0.10431)</f>
        <v>0.10431</v>
      </c>
      <c r="E36" s="17">
        <f>IFERROR(__xludf.DUMMYFUNCTION("""COMPUTED_VALUE"""),12.0)</f>
        <v>12</v>
      </c>
      <c r="F36" s="17"/>
      <c r="G36" s="17">
        <f>IFERROR(__xludf.DUMMYFUNCTION("""COMPUTED_VALUE"""),115.03)</f>
        <v>115.03</v>
      </c>
      <c r="H36" s="20">
        <f>IFERROR(__xludf.DUMMYFUNCTION("""COMPUTED_VALUE"""),0.15)</f>
        <v>0.15</v>
      </c>
      <c r="I36" s="17"/>
      <c r="J36" s="20">
        <f>IFERROR(__xludf.DUMMYFUNCTION("""COMPUTED_VALUE"""),12.15)</f>
        <v>12.15</v>
      </c>
      <c r="K36" s="17">
        <f t="shared" si="1"/>
        <v>0.10431</v>
      </c>
      <c r="L36" s="20">
        <f t="shared" si="4"/>
        <v>12.15</v>
      </c>
      <c r="M36" s="17">
        <f t="shared" si="2"/>
        <v>116.4797239</v>
      </c>
      <c r="N36" s="17" t="str">
        <f t="shared" si="3"/>
        <v/>
      </c>
    </row>
    <row r="37">
      <c r="A37" s="17" t="str">
        <f>IFERROR(__xludf.DUMMYFUNCTION("""COMPUTED_VALUE"""),"Compra")</f>
        <v>Compra</v>
      </c>
      <c r="B37" s="19">
        <f>IFERROR(__xludf.DUMMYFUNCTION("""COMPUTED_VALUE"""),45770.0)</f>
        <v>45770</v>
      </c>
      <c r="C37" s="17" t="str">
        <f>IFERROR(__xludf.DUMMYFUNCTION("""COMPUTED_VALUE"""),"GLD")</f>
        <v>GLD</v>
      </c>
      <c r="D37" s="17">
        <f>IFERROR(__xludf.DUMMYFUNCTION("""COMPUTED_VALUE"""),0.03292)</f>
        <v>0.03292</v>
      </c>
      <c r="E37" s="17">
        <f>IFERROR(__xludf.DUMMYFUNCTION("""COMPUTED_VALUE"""),10.0)</f>
        <v>10</v>
      </c>
      <c r="F37" s="17"/>
      <c r="G37" s="17">
        <f>IFERROR(__xludf.DUMMYFUNCTION("""COMPUTED_VALUE"""),303.68)</f>
        <v>303.68</v>
      </c>
      <c r="H37" s="20">
        <f>IFERROR(__xludf.DUMMYFUNCTION("""COMPUTED_VALUE"""),0.15)</f>
        <v>0.15</v>
      </c>
      <c r="I37" s="17"/>
      <c r="J37" s="20">
        <f>IFERROR(__xludf.DUMMYFUNCTION("""COMPUTED_VALUE"""),10.15)</f>
        <v>10.15</v>
      </c>
      <c r="K37" s="17">
        <f t="shared" si="1"/>
        <v>0.03292</v>
      </c>
      <c r="L37" s="20">
        <f t="shared" si="4"/>
        <v>10.15</v>
      </c>
      <c r="M37" s="17">
        <f t="shared" si="2"/>
        <v>308.3232078</v>
      </c>
      <c r="N37" s="17" t="str">
        <f t="shared" si="3"/>
        <v/>
      </c>
    </row>
    <row r="38">
      <c r="A38" s="17" t="str">
        <f>IFERROR(__xludf.DUMMYFUNCTION("""COMPUTED_VALUE"""),"Compra")</f>
        <v>Compra</v>
      </c>
      <c r="B38" s="19">
        <f>IFERROR(__xludf.DUMMYFUNCTION("""COMPUTED_VALUE"""),45770.0)</f>
        <v>45770</v>
      </c>
      <c r="C38" s="17" t="str">
        <f>IFERROR(__xludf.DUMMYFUNCTION("""COMPUTED_VALUE"""),"NVDA")</f>
        <v>NVDA</v>
      </c>
      <c r="D38" s="17">
        <f>IFERROR(__xludf.DUMMYFUNCTION("""COMPUTED_VALUE"""),0.04814)</f>
        <v>0.04814</v>
      </c>
      <c r="E38" s="17">
        <f>IFERROR(__xludf.DUMMYFUNCTION("""COMPUTED_VALUE"""),5.0)</f>
        <v>5</v>
      </c>
      <c r="F38" s="17"/>
      <c r="G38" s="17">
        <f>IFERROR(__xludf.DUMMYFUNCTION("""COMPUTED_VALUE"""),103.84)</f>
        <v>103.84</v>
      </c>
      <c r="H38" s="20">
        <f>IFERROR(__xludf.DUMMYFUNCTION("""COMPUTED_VALUE"""),0.15)</f>
        <v>0.15</v>
      </c>
      <c r="I38" s="17"/>
      <c r="J38" s="20">
        <f>IFERROR(__xludf.DUMMYFUNCTION("""COMPUTED_VALUE"""),5.15)</f>
        <v>5.15</v>
      </c>
      <c r="K38" s="17">
        <f t="shared" si="1"/>
        <v>0.04814</v>
      </c>
      <c r="L38" s="20">
        <f t="shared" si="4"/>
        <v>5.15</v>
      </c>
      <c r="M38" s="17">
        <f t="shared" si="2"/>
        <v>106.9796427</v>
      </c>
      <c r="N38" s="17" t="str">
        <f t="shared" si="3"/>
        <v/>
      </c>
    </row>
    <row r="39">
      <c r="A39" s="17" t="str">
        <f>IFERROR(__xludf.DUMMYFUNCTION("""COMPUTED_VALUE"""),"Compra")</f>
        <v>Compra</v>
      </c>
      <c r="B39" s="19">
        <f>IFERROR(__xludf.DUMMYFUNCTION("""COMPUTED_VALUE"""),45770.0)</f>
        <v>45770</v>
      </c>
      <c r="C39" s="17" t="str">
        <f>IFERROR(__xludf.DUMMYFUNCTION("""COMPUTED_VALUE"""),"VEU")</f>
        <v>VEU</v>
      </c>
      <c r="D39" s="17">
        <f>IFERROR(__xludf.DUMMYFUNCTION("""COMPUTED_VALUE"""),0.08134)</f>
        <v>0.08134</v>
      </c>
      <c r="E39" s="17">
        <f>IFERROR(__xludf.DUMMYFUNCTION("""COMPUTED_VALUE"""),5.0)</f>
        <v>5</v>
      </c>
      <c r="F39" s="17"/>
      <c r="G39" s="17">
        <f>IFERROR(__xludf.DUMMYFUNCTION("""COMPUTED_VALUE"""),61.46)</f>
        <v>61.46</v>
      </c>
      <c r="H39" s="20">
        <f>IFERROR(__xludf.DUMMYFUNCTION("""COMPUTED_VALUE"""),0.15)</f>
        <v>0.15</v>
      </c>
      <c r="I39" s="17"/>
      <c r="J39" s="20">
        <f>IFERROR(__xludf.DUMMYFUNCTION("""COMPUTED_VALUE"""),5.15)</f>
        <v>5.15</v>
      </c>
      <c r="K39" s="17">
        <f t="shared" si="1"/>
        <v>0.08134</v>
      </c>
      <c r="L39" s="20">
        <f t="shared" si="4"/>
        <v>5.15</v>
      </c>
      <c r="M39" s="17">
        <f t="shared" si="2"/>
        <v>63.31448242</v>
      </c>
      <c r="N39" s="17" t="str">
        <f t="shared" si="3"/>
        <v/>
      </c>
    </row>
    <row r="40">
      <c r="A40" s="17" t="str">
        <f>IFERROR(__xludf.DUMMYFUNCTION("""COMPUTED_VALUE"""),"Compra")</f>
        <v>Compra</v>
      </c>
      <c r="B40" s="19">
        <f>IFERROR(__xludf.DUMMYFUNCTION("""COMPUTED_VALUE"""),45770.0)</f>
        <v>45770</v>
      </c>
      <c r="C40" s="17" t="str">
        <f>IFERROR(__xludf.DUMMYFUNCTION("""COMPUTED_VALUE"""),"NU")</f>
        <v>NU</v>
      </c>
      <c r="D40" s="17">
        <f>IFERROR(__xludf.DUMMYFUNCTION("""COMPUTED_VALUE"""),0.43177)</f>
        <v>0.43177</v>
      </c>
      <c r="E40" s="17">
        <f>IFERROR(__xludf.DUMMYFUNCTION("""COMPUTED_VALUE"""),5.0)</f>
        <v>5</v>
      </c>
      <c r="F40" s="17"/>
      <c r="G40" s="17">
        <f>IFERROR(__xludf.DUMMYFUNCTION("""COMPUTED_VALUE"""),11.58)</f>
        <v>11.58</v>
      </c>
      <c r="H40" s="20">
        <f>IFERROR(__xludf.DUMMYFUNCTION("""COMPUTED_VALUE"""),0.15)</f>
        <v>0.15</v>
      </c>
      <c r="I40" s="17"/>
      <c r="J40" s="20">
        <f>IFERROR(__xludf.DUMMYFUNCTION("""COMPUTED_VALUE"""),5.15)</f>
        <v>5.15</v>
      </c>
      <c r="K40" s="17">
        <f t="shared" si="1"/>
        <v>0.43177</v>
      </c>
      <c r="L40" s="20">
        <f t="shared" si="4"/>
        <v>5.15</v>
      </c>
      <c r="M40" s="17">
        <f t="shared" si="2"/>
        <v>11.92764666</v>
      </c>
      <c r="N40" s="17" t="str">
        <f t="shared" si="3"/>
        <v/>
      </c>
    </row>
    <row r="41">
      <c r="A41" s="17" t="str">
        <f>IFERROR(__xludf.DUMMYFUNCTION("""COMPUTED_VALUE"""),"Compra")</f>
        <v>Compra</v>
      </c>
      <c r="B41" s="19">
        <f>IFERROR(__xludf.DUMMYFUNCTION("""COMPUTED_VALUE"""),45784.0)</f>
        <v>45784</v>
      </c>
      <c r="C41" s="17" t="str">
        <f>IFERROR(__xludf.DUMMYFUNCTION("""COMPUTED_VALUE"""),"EEM")</f>
        <v>EEM</v>
      </c>
      <c r="D41" s="17">
        <f>IFERROR(__xludf.DUMMYFUNCTION("""COMPUTED_VALUE"""),0.17609)</f>
        <v>0.17609</v>
      </c>
      <c r="E41" s="17">
        <f>IFERROR(__xludf.DUMMYFUNCTION("""COMPUTED_VALUE"""),7.85)</f>
        <v>7.85</v>
      </c>
      <c r="F41" s="17"/>
      <c r="G41" s="17">
        <f>IFERROR(__xludf.DUMMYFUNCTION("""COMPUTED_VALUE"""),44.57)</f>
        <v>44.57</v>
      </c>
      <c r="H41" s="20">
        <f>IFERROR(__xludf.DUMMYFUNCTION("""COMPUTED_VALUE"""),0.15)</f>
        <v>0.15</v>
      </c>
      <c r="I41" s="17"/>
      <c r="J41" s="20">
        <f>IFERROR(__xludf.DUMMYFUNCTION("""COMPUTED_VALUE"""),8.0)</f>
        <v>8</v>
      </c>
      <c r="K41" s="17">
        <f t="shared" si="1"/>
        <v>0.17609</v>
      </c>
      <c r="L41" s="20">
        <f t="shared" si="4"/>
        <v>8</v>
      </c>
      <c r="M41" s="17">
        <f t="shared" si="2"/>
        <v>45.43131353</v>
      </c>
      <c r="N41" s="17" t="str">
        <f t="shared" si="3"/>
        <v/>
      </c>
    </row>
    <row r="42">
      <c r="A42" s="17" t="str">
        <f>IFERROR(__xludf.DUMMYFUNCTION("""COMPUTED_VALUE"""),"Depósito")</f>
        <v>Depósito</v>
      </c>
      <c r="B42" s="19">
        <f>IFERROR(__xludf.DUMMYFUNCTION("""COMPUTED_VALUE"""),45799.0)</f>
        <v>45799</v>
      </c>
      <c r="C42" s="17" t="str">
        <f>IFERROR(__xludf.DUMMYFUNCTION("""COMPUTED_VALUE"""),"USD")</f>
        <v>USD</v>
      </c>
      <c r="D42" s="17"/>
      <c r="E42" s="17">
        <f>IFERROR(__xludf.DUMMYFUNCTION("""COMPUTED_VALUE"""),50.0)</f>
        <v>50</v>
      </c>
      <c r="F42" s="17"/>
      <c r="G42" s="17"/>
      <c r="H42" s="20"/>
      <c r="I42" s="17"/>
      <c r="J42" s="20">
        <f>IFERROR(__xludf.DUMMYFUNCTION("""COMPUTED_VALUE"""),50.0)</f>
        <v>50</v>
      </c>
      <c r="K42" s="17" t="str">
        <f t="shared" si="1"/>
        <v/>
      </c>
      <c r="L42" s="17" t="str">
        <f t="shared" si="4"/>
        <v/>
      </c>
      <c r="M42" s="17" t="str">
        <f t="shared" si="2"/>
        <v>#DIV/0!</v>
      </c>
      <c r="N42" s="17" t="str">
        <f t="shared" si="3"/>
        <v/>
      </c>
    </row>
    <row r="43">
      <c r="A43" s="17" t="str">
        <f>IFERROR(__xludf.DUMMYFUNCTION("""COMPUTED_VALUE"""),"Compra")</f>
        <v>Compra</v>
      </c>
      <c r="B43" s="19">
        <f>IFERROR(__xludf.DUMMYFUNCTION("""COMPUTED_VALUE"""),45800.0)</f>
        <v>45800</v>
      </c>
      <c r="C43" s="17" t="str">
        <f>IFERROR(__xludf.DUMMYFUNCTION("""COMPUTED_VALUE"""),"ACWI")</f>
        <v>ACWI</v>
      </c>
      <c r="D43" s="17">
        <f>IFERROR(__xludf.DUMMYFUNCTION("""COMPUTED_VALUE"""),0.10205)</f>
        <v>0.10205</v>
      </c>
      <c r="E43" s="17">
        <f>IFERROR(__xludf.DUMMYFUNCTION("""COMPUTED_VALUE"""),12.5)</f>
        <v>12.5</v>
      </c>
      <c r="F43" s="17"/>
      <c r="G43" s="17">
        <f>IFERROR(__xludf.DUMMYFUNCTION("""COMPUTED_VALUE"""),122.47)</f>
        <v>122.47</v>
      </c>
      <c r="H43" s="20">
        <f>IFERROR(__xludf.DUMMYFUNCTION("""COMPUTED_VALUE"""),0.15)</f>
        <v>0.15</v>
      </c>
      <c r="I43" s="17"/>
      <c r="J43" s="20">
        <f>IFERROR(__xludf.DUMMYFUNCTION("""COMPUTED_VALUE"""),12.65)</f>
        <v>12.65</v>
      </c>
      <c r="K43" s="17">
        <f t="shared" si="1"/>
        <v>0.10205</v>
      </c>
      <c r="L43" s="20">
        <f t="shared" si="4"/>
        <v>12.65</v>
      </c>
      <c r="M43" s="17">
        <f t="shared" si="2"/>
        <v>123.9588437</v>
      </c>
      <c r="N43" s="17" t="str">
        <f t="shared" si="3"/>
        <v/>
      </c>
    </row>
    <row r="44">
      <c r="A44" s="17" t="str">
        <f>IFERROR(__xludf.DUMMYFUNCTION("""COMPUTED_VALUE"""),"Compra")</f>
        <v>Compra</v>
      </c>
      <c r="B44" s="19">
        <f>IFERROR(__xludf.DUMMYFUNCTION("""COMPUTED_VALUE"""),45800.0)</f>
        <v>45800</v>
      </c>
      <c r="C44" s="17" t="str">
        <f>IFERROR(__xludf.DUMMYFUNCTION("""COMPUTED_VALUE"""),"GLD")</f>
        <v>GLD</v>
      </c>
      <c r="D44" s="17">
        <f>IFERROR(__xludf.DUMMYFUNCTION("""COMPUTED_VALUE"""),0.02418)</f>
        <v>0.02418</v>
      </c>
      <c r="E44" s="17">
        <f>IFERROR(__xludf.DUMMYFUNCTION("""COMPUTED_VALUE"""),7.5)</f>
        <v>7.5</v>
      </c>
      <c r="F44" s="17"/>
      <c r="G44" s="17">
        <f>IFERROR(__xludf.DUMMYFUNCTION("""COMPUTED_VALUE"""),310.11)</f>
        <v>310.11</v>
      </c>
      <c r="H44" s="20">
        <f>IFERROR(__xludf.DUMMYFUNCTION("""COMPUTED_VALUE"""),0.15)</f>
        <v>0.15</v>
      </c>
      <c r="I44" s="17"/>
      <c r="J44" s="20">
        <f>IFERROR(__xludf.DUMMYFUNCTION("""COMPUTED_VALUE"""),7.65)</f>
        <v>7.65</v>
      </c>
      <c r="K44" s="17">
        <f t="shared" si="1"/>
        <v>0.02418</v>
      </c>
      <c r="L44" s="20">
        <f t="shared" si="4"/>
        <v>7.65</v>
      </c>
      <c r="M44" s="17">
        <f t="shared" si="2"/>
        <v>316.3771712</v>
      </c>
      <c r="N44" s="17" t="str">
        <f t="shared" si="3"/>
        <v/>
      </c>
    </row>
    <row r="45">
      <c r="A45" s="17" t="str">
        <f>IFERROR(__xludf.DUMMYFUNCTION("""COMPUTED_VALUE"""),"Compra")</f>
        <v>Compra</v>
      </c>
      <c r="B45" s="19">
        <f>IFERROR(__xludf.DUMMYFUNCTION("""COMPUTED_VALUE"""),45800.0)</f>
        <v>45800</v>
      </c>
      <c r="C45" s="17" t="str">
        <f>IFERROR(__xludf.DUMMYFUNCTION("""COMPUTED_VALUE"""),"EEM")</f>
        <v>EEM</v>
      </c>
      <c r="D45" s="17">
        <f>IFERROR(__xludf.DUMMYFUNCTION("""COMPUTED_VALUE"""),0.10813)</f>
        <v>0.10813</v>
      </c>
      <c r="E45" s="17">
        <f>IFERROR(__xludf.DUMMYFUNCTION("""COMPUTED_VALUE"""),5.0)</f>
        <v>5</v>
      </c>
      <c r="F45" s="17"/>
      <c r="G45" s="17">
        <f>IFERROR(__xludf.DUMMYFUNCTION("""COMPUTED_VALUE"""),46.23)</f>
        <v>46.23</v>
      </c>
      <c r="H45" s="20">
        <f>IFERROR(__xludf.DUMMYFUNCTION("""COMPUTED_VALUE"""),0.15)</f>
        <v>0.15</v>
      </c>
      <c r="I45" s="17"/>
      <c r="J45" s="20">
        <f>IFERROR(__xludf.DUMMYFUNCTION("""COMPUTED_VALUE"""),5.15)</f>
        <v>5.15</v>
      </c>
      <c r="K45" s="17">
        <f t="shared" si="1"/>
        <v>0.10813</v>
      </c>
      <c r="L45" s="20">
        <f t="shared" si="4"/>
        <v>5.15</v>
      </c>
      <c r="M45" s="17">
        <f t="shared" si="2"/>
        <v>47.62785536</v>
      </c>
      <c r="N45" s="17" t="str">
        <f t="shared" si="3"/>
        <v/>
      </c>
    </row>
    <row r="46">
      <c r="A46" s="17" t="str">
        <f>IFERROR(__xludf.DUMMYFUNCTION("""COMPUTED_VALUE"""),"Compra")</f>
        <v>Compra</v>
      </c>
      <c r="B46" s="19">
        <f>IFERROR(__xludf.DUMMYFUNCTION("""COMPUTED_VALUE"""),45800.0)</f>
        <v>45800</v>
      </c>
      <c r="C46" s="17" t="str">
        <f>IFERROR(__xludf.DUMMYFUNCTION("""COMPUTED_VALUE"""),"NU")</f>
        <v>NU</v>
      </c>
      <c r="D46" s="17">
        <f>IFERROR(__xludf.DUMMYFUNCTION("""COMPUTED_VALUE"""),0.4171)</f>
        <v>0.4171</v>
      </c>
      <c r="E46" s="17">
        <f>IFERROR(__xludf.DUMMYFUNCTION("""COMPUTED_VALUE"""),5.0)</f>
        <v>5</v>
      </c>
      <c r="F46" s="17"/>
      <c r="G46" s="17">
        <f>IFERROR(__xludf.DUMMYFUNCTION("""COMPUTED_VALUE"""),11.98)</f>
        <v>11.98</v>
      </c>
      <c r="H46" s="20">
        <f>IFERROR(__xludf.DUMMYFUNCTION("""COMPUTED_VALUE"""),0.15)</f>
        <v>0.15</v>
      </c>
      <c r="I46" s="17"/>
      <c r="J46" s="20">
        <f>IFERROR(__xludf.DUMMYFUNCTION("""COMPUTED_VALUE"""),5.15)</f>
        <v>5.15</v>
      </c>
      <c r="K46" s="17">
        <f t="shared" si="1"/>
        <v>0.4171</v>
      </c>
      <c r="L46" s="20">
        <f t="shared" si="4"/>
        <v>5.15</v>
      </c>
      <c r="M46" s="17">
        <f t="shared" si="2"/>
        <v>12.34715895</v>
      </c>
      <c r="N46" s="17" t="str">
        <f t="shared" si="3"/>
        <v/>
      </c>
    </row>
    <row r="47">
      <c r="A47" s="17" t="str">
        <f>IFERROR(__xludf.DUMMYFUNCTION("""COMPUTED_VALUE"""),"Compra")</f>
        <v>Compra</v>
      </c>
      <c r="B47" s="19">
        <f>IFERROR(__xludf.DUMMYFUNCTION("""COMPUTED_VALUE"""),45800.0)</f>
        <v>45800</v>
      </c>
      <c r="C47" s="17" t="str">
        <f>IFERROR(__xludf.DUMMYFUNCTION("""COMPUTED_VALUE"""),"NVDA")</f>
        <v>NVDA</v>
      </c>
      <c r="D47" s="17">
        <f>IFERROR(__xludf.DUMMYFUNCTION("""COMPUTED_VALUE"""),0.03798)</f>
        <v>0.03798</v>
      </c>
      <c r="E47" s="17">
        <f>IFERROR(__xludf.DUMMYFUNCTION("""COMPUTED_VALUE"""),5.0)</f>
        <v>5</v>
      </c>
      <c r="F47" s="17"/>
      <c r="G47" s="17">
        <f>IFERROR(__xludf.DUMMYFUNCTION("""COMPUTED_VALUE"""),131.63)</f>
        <v>131.63</v>
      </c>
      <c r="H47" s="20">
        <f>IFERROR(__xludf.DUMMYFUNCTION("""COMPUTED_VALUE"""),0.15)</f>
        <v>0.15</v>
      </c>
      <c r="I47" s="17"/>
      <c r="J47" s="20">
        <f>IFERROR(__xludf.DUMMYFUNCTION("""COMPUTED_VALUE"""),5.15)</f>
        <v>5.15</v>
      </c>
      <c r="K47" s="17">
        <f t="shared" si="1"/>
        <v>0.03798</v>
      </c>
      <c r="L47" s="20">
        <f t="shared" si="4"/>
        <v>5.15</v>
      </c>
      <c r="M47" s="17">
        <f t="shared" si="2"/>
        <v>135.597683</v>
      </c>
      <c r="N47" s="17" t="str">
        <f t="shared" si="3"/>
        <v/>
      </c>
    </row>
    <row r="48">
      <c r="A48" s="17" t="str">
        <f>IFERROR(__xludf.DUMMYFUNCTION("""COMPUTED_VALUE"""),"Dividendo")</f>
        <v>Dividendo</v>
      </c>
      <c r="B48" s="19">
        <f>IFERROR(__xludf.DUMMYFUNCTION("""COMPUTED_VALUE"""),45831.0)</f>
        <v>45831</v>
      </c>
      <c r="C48" s="17" t="str">
        <f>IFERROR(__xludf.DUMMYFUNCTION("""COMPUTED_VALUE"""),"ACWI")</f>
        <v>ACWI</v>
      </c>
      <c r="D48" s="17"/>
      <c r="E48" s="17">
        <f>IFERROR(__xludf.DUMMYFUNCTION("""COMPUTED_VALUE"""),0.81)</f>
        <v>0.81</v>
      </c>
      <c r="F48" s="17"/>
      <c r="G48" s="17"/>
      <c r="H48" s="20">
        <f>IFERROR(__xludf.DUMMYFUNCTION("""COMPUTED_VALUE"""),0.24)</f>
        <v>0.24</v>
      </c>
      <c r="I48" s="17"/>
      <c r="J48" s="20">
        <f>IFERROR(__xludf.DUMMYFUNCTION("""COMPUTED_VALUE"""),0.57)</f>
        <v>0.57</v>
      </c>
      <c r="K48" s="17">
        <f t="shared" si="1"/>
        <v>0</v>
      </c>
      <c r="L48" s="17">
        <f t="shared" si="4"/>
        <v>0</v>
      </c>
      <c r="M48" s="17">
        <f t="shared" si="2"/>
        <v>0</v>
      </c>
      <c r="N48" s="20">
        <f t="shared" si="3"/>
        <v>0.57</v>
      </c>
    </row>
    <row r="49">
      <c r="A49" s="17" t="str">
        <f>IFERROR(__xludf.DUMMYFUNCTION("""COMPUTED_VALUE"""),"Dividendo")</f>
        <v>Dividendo</v>
      </c>
      <c r="B49" s="19">
        <f>IFERROR(__xludf.DUMMYFUNCTION("""COMPUTED_VALUE"""),45831.0)</f>
        <v>45831</v>
      </c>
      <c r="C49" s="17" t="str">
        <f>IFERROR(__xludf.DUMMYFUNCTION("""COMPUTED_VALUE"""),"EEM")</f>
        <v>EEM</v>
      </c>
      <c r="D49" s="17"/>
      <c r="E49" s="17">
        <f>IFERROR(__xludf.DUMMYFUNCTION("""COMPUTED_VALUE"""),0.51)</f>
        <v>0.51</v>
      </c>
      <c r="F49" s="17"/>
      <c r="G49" s="17"/>
      <c r="H49" s="20">
        <f>IFERROR(__xludf.DUMMYFUNCTION("""COMPUTED_VALUE"""),0.15)</f>
        <v>0.15</v>
      </c>
      <c r="I49" s="17"/>
      <c r="J49" s="20">
        <f>IFERROR(__xludf.DUMMYFUNCTION("""COMPUTED_VALUE"""),0.36)</f>
        <v>0.36</v>
      </c>
      <c r="K49" s="17">
        <f t="shared" si="1"/>
        <v>0</v>
      </c>
      <c r="L49" s="17">
        <f t="shared" si="4"/>
        <v>0</v>
      </c>
      <c r="M49" s="17">
        <f t="shared" si="2"/>
        <v>0</v>
      </c>
      <c r="N49" s="20">
        <f t="shared" si="3"/>
        <v>0.36</v>
      </c>
    </row>
    <row r="50">
      <c r="A50" s="17" t="str">
        <f>IFERROR(__xludf.DUMMYFUNCTION("""COMPUTED_VALUE"""),"Dividendo")</f>
        <v>Dividendo</v>
      </c>
      <c r="B50" s="19">
        <f>IFERROR(__xludf.DUMMYFUNCTION("""COMPUTED_VALUE"""),45833.0)</f>
        <v>45833</v>
      </c>
      <c r="C50" s="17" t="str">
        <f>IFERROR(__xludf.DUMMYFUNCTION("""COMPUTED_VALUE"""),"VEU")</f>
        <v>VEU</v>
      </c>
      <c r="D50" s="17"/>
      <c r="E50" s="17">
        <f>IFERROR(__xludf.DUMMYFUNCTION("""COMPUTED_VALUE"""),0.45)</f>
        <v>0.45</v>
      </c>
      <c r="F50" s="17"/>
      <c r="G50" s="17"/>
      <c r="H50" s="20">
        <f>IFERROR(__xludf.DUMMYFUNCTION("""COMPUTED_VALUE"""),0.14)</f>
        <v>0.14</v>
      </c>
      <c r="I50" s="17"/>
      <c r="J50" s="20">
        <f>IFERROR(__xludf.DUMMYFUNCTION("""COMPUTED_VALUE"""),0.31)</f>
        <v>0.31</v>
      </c>
      <c r="K50" s="17">
        <f t="shared" si="1"/>
        <v>0</v>
      </c>
      <c r="L50" s="17">
        <f t="shared" si="4"/>
        <v>0</v>
      </c>
      <c r="M50" s="17">
        <f t="shared" si="2"/>
        <v>0</v>
      </c>
      <c r="N50" s="20">
        <f t="shared" si="3"/>
        <v>0.31</v>
      </c>
    </row>
    <row r="51">
      <c r="A51" s="17" t="str">
        <f>IFERROR(__xludf.DUMMYFUNCTION("""COMPUTED_VALUE"""),"Depósito")</f>
        <v>Depósito</v>
      </c>
      <c r="B51" s="19">
        <f>IFERROR(__xludf.DUMMYFUNCTION("""COMPUTED_VALUE"""),45834.0)</f>
        <v>45834</v>
      </c>
      <c r="C51" s="17" t="str">
        <f>IFERROR(__xludf.DUMMYFUNCTION("""COMPUTED_VALUE"""),"USD")</f>
        <v>USD</v>
      </c>
      <c r="D51" s="17"/>
      <c r="E51" s="17">
        <f>IFERROR(__xludf.DUMMYFUNCTION("""COMPUTED_VALUE"""),50.0)</f>
        <v>50</v>
      </c>
      <c r="F51" s="17">
        <f>IFERROR(__xludf.DUMMYFUNCTION("""COMPUTED_VALUE"""),219075.0)</f>
        <v>219075</v>
      </c>
      <c r="G51" s="17"/>
      <c r="H51" s="20"/>
      <c r="I51" s="17"/>
      <c r="J51" s="20">
        <f>IFERROR(__xludf.DUMMYFUNCTION("""COMPUTED_VALUE"""),50.0)</f>
        <v>50</v>
      </c>
      <c r="K51" s="17" t="str">
        <f t="shared" si="1"/>
        <v/>
      </c>
      <c r="L51" s="17" t="str">
        <f t="shared" si="4"/>
        <v/>
      </c>
      <c r="M51" s="17" t="str">
        <f t="shared" si="2"/>
        <v>#DIV/0!</v>
      </c>
      <c r="N51" s="17" t="str">
        <f t="shared" si="3"/>
        <v/>
      </c>
    </row>
    <row r="52">
      <c r="A52" s="17" t="str">
        <f>IFERROR(__xludf.DUMMYFUNCTION("""COMPUTED_VALUE"""),"Compra")</f>
        <v>Compra</v>
      </c>
      <c r="B52" s="19">
        <f>IFERROR(__xludf.DUMMYFUNCTION("""COMPUTED_VALUE"""),45834.0)</f>
        <v>45834</v>
      </c>
      <c r="C52" s="17" t="str">
        <f>IFERROR(__xludf.DUMMYFUNCTION("""COMPUTED_VALUE"""),"BTCUSD")</f>
        <v>BTCUSD</v>
      </c>
      <c r="D52" s="17">
        <f>IFERROR(__xludf.DUMMYFUNCTION("""COMPUTED_VALUE"""),1.1668E-4)</f>
        <v>0.00011668</v>
      </c>
      <c r="E52" s="17">
        <f>IFERROR(__xludf.DUMMYFUNCTION("""COMPUTED_VALUE"""),12.5)</f>
        <v>12.5</v>
      </c>
      <c r="F52" s="17"/>
      <c r="G52" s="17">
        <f>IFERROR(__xludf.DUMMYFUNCTION("""COMPUTED_VALUE"""),107130.61)</f>
        <v>107130.61</v>
      </c>
      <c r="H52" s="20">
        <f>IFERROR(__xludf.DUMMYFUNCTION("""COMPUTED_VALUE"""),0.12)</f>
        <v>0.12</v>
      </c>
      <c r="I52" s="17"/>
      <c r="J52" s="20">
        <f>IFERROR(__xludf.DUMMYFUNCTION("""COMPUTED_VALUE"""),12.62)</f>
        <v>12.62</v>
      </c>
      <c r="K52" s="17">
        <f t="shared" si="1"/>
        <v>0.00011668</v>
      </c>
      <c r="L52" s="20">
        <f t="shared" si="4"/>
        <v>12.62</v>
      </c>
      <c r="M52" s="17">
        <f t="shared" si="2"/>
        <v>108159.0675</v>
      </c>
      <c r="N52" s="17" t="str">
        <f t="shared" si="3"/>
        <v/>
      </c>
    </row>
    <row r="53">
      <c r="A53" s="17" t="str">
        <f>IFERROR(__xludf.DUMMYFUNCTION("""COMPUTED_VALUE"""),"Compra")</f>
        <v>Compra</v>
      </c>
      <c r="B53" s="19">
        <f>IFERROR(__xludf.DUMMYFUNCTION("""COMPUTED_VALUE"""),45834.0)</f>
        <v>45834</v>
      </c>
      <c r="C53" s="17" t="str">
        <f>IFERROR(__xludf.DUMMYFUNCTION("""COMPUTED_VALUE"""),"ETHUSD")</f>
        <v>ETHUSD</v>
      </c>
      <c r="D53" s="17">
        <f>IFERROR(__xludf.DUMMYFUNCTION("""COMPUTED_VALUE"""),0.00409717)</f>
        <v>0.00409717</v>
      </c>
      <c r="E53" s="17">
        <f>IFERROR(__xludf.DUMMYFUNCTION("""COMPUTED_VALUE"""),10.0)</f>
        <v>10</v>
      </c>
      <c r="F53" s="17"/>
      <c r="G53" s="17">
        <f>IFERROR(__xludf.DUMMYFUNCTION("""COMPUTED_VALUE"""),2440.7)</f>
        <v>2440.7</v>
      </c>
      <c r="H53" s="20">
        <f>IFERROR(__xludf.DUMMYFUNCTION("""COMPUTED_VALUE"""),0.1)</f>
        <v>0.1</v>
      </c>
      <c r="I53" s="17"/>
      <c r="J53" s="20">
        <f>IFERROR(__xludf.DUMMYFUNCTION("""COMPUTED_VALUE"""),10.1)</f>
        <v>10.1</v>
      </c>
      <c r="K53" s="17">
        <f t="shared" si="1"/>
        <v>0.00409717</v>
      </c>
      <c r="L53" s="20">
        <f t="shared" si="4"/>
        <v>10.1</v>
      </c>
      <c r="M53" s="17">
        <f t="shared" si="2"/>
        <v>2465.116166</v>
      </c>
      <c r="N53" s="17" t="str">
        <f t="shared" si="3"/>
        <v/>
      </c>
    </row>
    <row r="54">
      <c r="A54" s="17" t="str">
        <f>IFERROR(__xludf.DUMMYFUNCTION("""COMPUTED_VALUE"""),"Compra")</f>
        <v>Compra</v>
      </c>
      <c r="B54" s="19">
        <f>IFERROR(__xludf.DUMMYFUNCTION("""COMPUTED_VALUE"""),45834.0)</f>
        <v>45834</v>
      </c>
      <c r="C54" s="17" t="str">
        <f>IFERROR(__xludf.DUMMYFUNCTION("""COMPUTED_VALUE"""),"GLD")</f>
        <v>GLD</v>
      </c>
      <c r="D54" s="17">
        <f>IFERROR(__xludf.DUMMYFUNCTION("""COMPUTED_VALUE"""),0.01639)</f>
        <v>0.01639</v>
      </c>
      <c r="E54" s="17">
        <f>IFERROR(__xludf.DUMMYFUNCTION("""COMPUTED_VALUE"""),5.0)</f>
        <v>5</v>
      </c>
      <c r="F54" s="17"/>
      <c r="G54" s="17">
        <f>IFERROR(__xludf.DUMMYFUNCTION("""COMPUTED_VALUE"""),305.0)</f>
        <v>305</v>
      </c>
      <c r="H54" s="20">
        <f>IFERROR(__xludf.DUMMYFUNCTION("""COMPUTED_VALUE"""),0.15)</f>
        <v>0.15</v>
      </c>
      <c r="I54" s="17"/>
      <c r="J54" s="20">
        <f>IFERROR(__xludf.DUMMYFUNCTION("""COMPUTED_VALUE"""),5.15)</f>
        <v>5.15</v>
      </c>
      <c r="K54" s="17">
        <f t="shared" si="1"/>
        <v>0.01639</v>
      </c>
      <c r="L54" s="20">
        <f t="shared" si="4"/>
        <v>5.15</v>
      </c>
      <c r="M54" s="17">
        <f t="shared" si="2"/>
        <v>314.2159854</v>
      </c>
      <c r="N54" s="17" t="str">
        <f t="shared" si="3"/>
        <v/>
      </c>
    </row>
    <row r="55">
      <c r="A55" s="17" t="str">
        <f>IFERROR(__xludf.DUMMYFUNCTION("""COMPUTED_VALUE"""),"Compra")</f>
        <v>Compra</v>
      </c>
      <c r="B55" s="19">
        <f>IFERROR(__xludf.DUMMYFUNCTION("""COMPUTED_VALUE"""),45834.0)</f>
        <v>45834</v>
      </c>
      <c r="C55" s="17" t="str">
        <f>IFERROR(__xludf.DUMMYFUNCTION("""COMPUTED_VALUE"""),"ACWI")</f>
        <v>ACWI</v>
      </c>
      <c r="D55" s="17">
        <f>IFERROR(__xludf.DUMMYFUNCTION("""COMPUTED_VALUE"""),0.05907)</f>
        <v>0.05907</v>
      </c>
      <c r="E55" s="17">
        <f>IFERROR(__xludf.DUMMYFUNCTION("""COMPUTED_VALUE"""),7.5)</f>
        <v>7.5</v>
      </c>
      <c r="F55" s="17"/>
      <c r="G55" s="17">
        <f>IFERROR(__xludf.DUMMYFUNCTION("""COMPUTED_VALUE"""),126.96)</f>
        <v>126.96</v>
      </c>
      <c r="H55" s="20">
        <f>IFERROR(__xludf.DUMMYFUNCTION("""COMPUTED_VALUE"""),0.15)</f>
        <v>0.15</v>
      </c>
      <c r="I55" s="17"/>
      <c r="J55" s="20">
        <f>IFERROR(__xludf.DUMMYFUNCTION("""COMPUTED_VALUE"""),7.65)</f>
        <v>7.65</v>
      </c>
      <c r="K55" s="17">
        <f t="shared" si="1"/>
        <v>0.05907</v>
      </c>
      <c r="L55" s="20">
        <f t="shared" si="4"/>
        <v>7.65</v>
      </c>
      <c r="M55" s="17">
        <f t="shared" si="2"/>
        <v>129.5073641</v>
      </c>
      <c r="N55" s="17" t="str">
        <f t="shared" si="3"/>
        <v/>
      </c>
    </row>
    <row r="56">
      <c r="A56" s="17" t="str">
        <f>IFERROR(__xludf.DUMMYFUNCTION("""COMPUTED_VALUE"""),"Compra")</f>
        <v>Compra</v>
      </c>
      <c r="B56" s="19">
        <f>IFERROR(__xludf.DUMMYFUNCTION("""COMPUTED_VALUE"""),45834.0)</f>
        <v>45834</v>
      </c>
      <c r="C56" s="17" t="str">
        <f>IFERROR(__xludf.DUMMYFUNCTION("""COMPUTED_VALUE"""),"EEM")</f>
        <v>EEM</v>
      </c>
      <c r="D56" s="17">
        <f>IFERROR(__xludf.DUMMYFUNCTION("""COMPUTED_VALUE"""),0.10391)</f>
        <v>0.10391</v>
      </c>
      <c r="E56" s="17">
        <f>IFERROR(__xludf.DUMMYFUNCTION("""COMPUTED_VALUE"""),5.0)</f>
        <v>5</v>
      </c>
      <c r="F56" s="17"/>
      <c r="G56" s="17">
        <f>IFERROR(__xludf.DUMMYFUNCTION("""COMPUTED_VALUE"""),48.11)</f>
        <v>48.11</v>
      </c>
      <c r="H56" s="20">
        <f>IFERROR(__xludf.DUMMYFUNCTION("""COMPUTED_VALUE"""),0.15)</f>
        <v>0.15</v>
      </c>
      <c r="I56" s="17"/>
      <c r="J56" s="20">
        <f>IFERROR(__xludf.DUMMYFUNCTION("""COMPUTED_VALUE"""),5.15)</f>
        <v>5.15</v>
      </c>
      <c r="K56" s="17">
        <f t="shared" si="1"/>
        <v>0.10391</v>
      </c>
      <c r="L56" s="20">
        <f t="shared" si="4"/>
        <v>5.15</v>
      </c>
      <c r="M56" s="17">
        <f t="shared" si="2"/>
        <v>49.56212107</v>
      </c>
      <c r="N56" s="17" t="str">
        <f t="shared" si="3"/>
        <v/>
      </c>
    </row>
    <row r="57">
      <c r="A57" s="17" t="str">
        <f>IFERROR(__xludf.DUMMYFUNCTION("""COMPUTED_VALUE"""),"Compra")</f>
        <v>Compra</v>
      </c>
      <c r="B57" s="19">
        <f>IFERROR(__xludf.DUMMYFUNCTION("""COMPUTED_VALUE"""),45834.0)</f>
        <v>45834</v>
      </c>
      <c r="C57" s="17" t="str">
        <f>IFERROR(__xludf.DUMMYFUNCTION("""COMPUTED_VALUE"""),"VEU")</f>
        <v>VEU</v>
      </c>
      <c r="D57" s="17">
        <f>IFERROR(__xludf.DUMMYFUNCTION("""COMPUTED_VALUE"""),0.07514)</f>
        <v>0.07514</v>
      </c>
      <c r="E57" s="17">
        <f>IFERROR(__xludf.DUMMYFUNCTION("""COMPUTED_VALUE"""),5.0)</f>
        <v>5</v>
      </c>
      <c r="F57" s="17"/>
      <c r="G57" s="17">
        <f>IFERROR(__xludf.DUMMYFUNCTION("""COMPUTED_VALUE"""),66.54)</f>
        <v>66.54</v>
      </c>
      <c r="H57" s="20">
        <f>IFERROR(__xludf.DUMMYFUNCTION("""COMPUTED_VALUE"""),0.15)</f>
        <v>0.15</v>
      </c>
      <c r="I57" s="17"/>
      <c r="J57" s="20">
        <f>IFERROR(__xludf.DUMMYFUNCTION("""COMPUTED_VALUE"""),5.15)</f>
        <v>5.15</v>
      </c>
      <c r="K57" s="17">
        <f t="shared" si="1"/>
        <v>0.07514</v>
      </c>
      <c r="L57" s="20">
        <f t="shared" si="4"/>
        <v>5.15</v>
      </c>
      <c r="M57" s="17">
        <f t="shared" si="2"/>
        <v>68.53872771</v>
      </c>
      <c r="N57" s="17" t="str">
        <f t="shared" si="3"/>
        <v/>
      </c>
    </row>
    <row r="58">
      <c r="A58" s="17" t="str">
        <f>IFERROR(__xludf.DUMMYFUNCTION("""COMPUTED_VALUE"""),"Compra")</f>
        <v>Compra</v>
      </c>
      <c r="B58" s="19">
        <f>IFERROR(__xludf.DUMMYFUNCTION("""COMPUTED_VALUE"""),45834.0)</f>
        <v>45834</v>
      </c>
      <c r="C58" s="17" t="str">
        <f>IFERROR(__xludf.DUMMYFUNCTION("""COMPUTED_VALUE"""),"NVDA")</f>
        <v>NVDA</v>
      </c>
      <c r="D58" s="17">
        <f>IFERROR(__xludf.DUMMYFUNCTION("""COMPUTED_VALUE"""),0.0323)</f>
        <v>0.0323</v>
      </c>
      <c r="E58" s="17">
        <f>IFERROR(__xludf.DUMMYFUNCTION("""COMPUTED_VALUE"""),5.0)</f>
        <v>5</v>
      </c>
      <c r="F58" s="17"/>
      <c r="G58" s="17">
        <f>IFERROR(__xludf.DUMMYFUNCTION("""COMPUTED_VALUE"""),154.76)</f>
        <v>154.76</v>
      </c>
      <c r="H58" s="20">
        <f>IFERROR(__xludf.DUMMYFUNCTION("""COMPUTED_VALUE"""),0.15)</f>
        <v>0.15</v>
      </c>
      <c r="I58" s="17"/>
      <c r="J58" s="20">
        <f>IFERROR(__xludf.DUMMYFUNCTION("""COMPUTED_VALUE"""),5.15)</f>
        <v>5.15</v>
      </c>
      <c r="K58" s="17">
        <f t="shared" si="1"/>
        <v>0.0323</v>
      </c>
      <c r="L58" s="20">
        <f t="shared" si="4"/>
        <v>5.15</v>
      </c>
      <c r="M58" s="17">
        <f t="shared" si="2"/>
        <v>159.4427245</v>
      </c>
      <c r="N58" s="17" t="str">
        <f t="shared" si="3"/>
        <v/>
      </c>
    </row>
    <row r="59">
      <c r="A59" s="17" t="str">
        <f>IFERROR(__xludf.DUMMYFUNCTION("""COMPUTED_VALUE"""),"Compra")</f>
        <v>Compra</v>
      </c>
      <c r="B59" s="19">
        <f>IFERROR(__xludf.DUMMYFUNCTION("""COMPUTED_VALUE"""),45834.0)</f>
        <v>45834</v>
      </c>
      <c r="C59" s="17" t="str">
        <f>IFERROR(__xludf.DUMMYFUNCTION("""COMPUTED_VALUE"""),"NU")</f>
        <v>NU</v>
      </c>
      <c r="D59" s="17">
        <f>IFERROR(__xludf.DUMMYFUNCTION("""COMPUTED_VALUE"""),0.37439)</f>
        <v>0.37439</v>
      </c>
      <c r="E59" s="17">
        <f>IFERROR(__xludf.DUMMYFUNCTION("""COMPUTED_VALUE"""),5.0)</f>
        <v>5</v>
      </c>
      <c r="F59" s="17"/>
      <c r="G59" s="17">
        <f>IFERROR(__xludf.DUMMYFUNCTION("""COMPUTED_VALUE"""),13.35)</f>
        <v>13.35</v>
      </c>
      <c r="H59" s="20">
        <f>IFERROR(__xludf.DUMMYFUNCTION("""COMPUTED_VALUE"""),0.15)</f>
        <v>0.15</v>
      </c>
      <c r="I59" s="17"/>
      <c r="J59" s="20">
        <f>IFERROR(__xludf.DUMMYFUNCTION("""COMPUTED_VALUE"""),5.15)</f>
        <v>5.15</v>
      </c>
      <c r="K59" s="17">
        <f t="shared" si="1"/>
        <v>0.37439</v>
      </c>
      <c r="L59" s="20">
        <f t="shared" si="4"/>
        <v>5.15</v>
      </c>
      <c r="M59" s="17">
        <f t="shared" si="2"/>
        <v>13.75570929</v>
      </c>
      <c r="N59" s="17" t="str">
        <f t="shared" si="3"/>
        <v/>
      </c>
    </row>
    <row r="60">
      <c r="A60" s="17" t="str">
        <f>IFERROR(__xludf.DUMMYFUNCTION("""COMPUTED_VALUE"""),"Depósito")</f>
        <v>Depósito</v>
      </c>
      <c r="B60" s="19">
        <f>IFERROR(__xludf.DUMMYFUNCTION("""COMPUTED_VALUE"""),45861.0)</f>
        <v>45861</v>
      </c>
      <c r="C60" s="17" t="str">
        <f>IFERROR(__xludf.DUMMYFUNCTION("""COMPUTED_VALUE"""),"USD")</f>
        <v>USD</v>
      </c>
      <c r="D60" s="17"/>
      <c r="E60" s="17">
        <f>IFERROR(__xludf.DUMMYFUNCTION("""COMPUTED_VALUE"""),50.0)</f>
        <v>50</v>
      </c>
      <c r="F60" s="17">
        <f>IFERROR(__xludf.DUMMYFUNCTION("""COMPUTED_VALUE"""),219452.0)</f>
        <v>219452</v>
      </c>
      <c r="G60" s="17"/>
      <c r="H60" s="20"/>
      <c r="I60" s="17"/>
      <c r="J60" s="20">
        <f>IFERROR(__xludf.DUMMYFUNCTION("""COMPUTED_VALUE"""),50.0)</f>
        <v>50</v>
      </c>
      <c r="K60" s="17" t="str">
        <f t="shared" si="1"/>
        <v/>
      </c>
      <c r="L60" s="17" t="str">
        <f t="shared" si="4"/>
        <v/>
      </c>
      <c r="M60" s="17" t="str">
        <f t="shared" si="2"/>
        <v>#DIV/0!</v>
      </c>
      <c r="N60" s="17" t="str">
        <f t="shared" si="3"/>
        <v/>
      </c>
    </row>
    <row r="61">
      <c r="A61" s="17" t="str">
        <f>IFERROR(__xludf.DUMMYFUNCTION("""COMPUTED_VALUE"""),"Compra")</f>
        <v>Compra</v>
      </c>
      <c r="B61" s="19">
        <f>IFERROR(__xludf.DUMMYFUNCTION("""COMPUTED_VALUE"""),45861.0)</f>
        <v>45861</v>
      </c>
      <c r="C61" s="17" t="str">
        <f>IFERROR(__xludf.DUMMYFUNCTION("""COMPUTED_VALUE"""),"BTCUSD")</f>
        <v>BTCUSD</v>
      </c>
      <c r="D61" s="17">
        <f>IFERROR(__xludf.DUMMYFUNCTION("""COMPUTED_VALUE"""),8.44E-5)</f>
        <v>0.0000844</v>
      </c>
      <c r="E61" s="17">
        <f>IFERROR(__xludf.DUMMYFUNCTION("""COMPUTED_VALUE"""),10.0)</f>
        <v>10</v>
      </c>
      <c r="F61" s="17"/>
      <c r="G61" s="17">
        <f>IFERROR(__xludf.DUMMYFUNCTION("""COMPUTED_VALUE"""),118483.41)</f>
        <v>118483.41</v>
      </c>
      <c r="H61" s="20">
        <f>IFERROR(__xludf.DUMMYFUNCTION("""COMPUTED_VALUE"""),0.1)</f>
        <v>0.1</v>
      </c>
      <c r="I61" s="17"/>
      <c r="J61" s="20">
        <f>IFERROR(__xludf.DUMMYFUNCTION("""COMPUTED_VALUE"""),10.1)</f>
        <v>10.1</v>
      </c>
      <c r="K61" s="17">
        <f t="shared" si="1"/>
        <v>0.0000844</v>
      </c>
      <c r="L61" s="20">
        <f t="shared" si="4"/>
        <v>10.1</v>
      </c>
      <c r="M61" s="17">
        <f t="shared" si="2"/>
        <v>119668.2464</v>
      </c>
      <c r="N61" s="17" t="str">
        <f t="shared" si="3"/>
        <v/>
      </c>
    </row>
    <row r="62">
      <c r="A62" s="17" t="str">
        <f>IFERROR(__xludf.DUMMYFUNCTION("""COMPUTED_VALUE"""),"Compra")</f>
        <v>Compra</v>
      </c>
      <c r="B62" s="19">
        <f>IFERROR(__xludf.DUMMYFUNCTION("""COMPUTED_VALUE"""),45861.0)</f>
        <v>45861</v>
      </c>
      <c r="C62" s="17" t="str">
        <f>IFERROR(__xludf.DUMMYFUNCTION("""COMPUTED_VALUE"""),"ETHUSD")</f>
        <v>ETHUSD</v>
      </c>
      <c r="D62" s="17">
        <f>IFERROR(__xludf.DUMMYFUNCTION("""COMPUTED_VALUE"""),0.00138613)</f>
        <v>0.00138613</v>
      </c>
      <c r="E62" s="17">
        <f>IFERROR(__xludf.DUMMYFUNCTION("""COMPUTED_VALUE"""),5.0)</f>
        <v>5</v>
      </c>
      <c r="F62" s="17"/>
      <c r="G62" s="17">
        <f>IFERROR(__xludf.DUMMYFUNCTION("""COMPUTED_VALUE"""),3607.16)</f>
        <v>3607.16</v>
      </c>
      <c r="H62" s="20">
        <f>IFERROR(__xludf.DUMMYFUNCTION("""COMPUTED_VALUE"""),0.05)</f>
        <v>0.05</v>
      </c>
      <c r="I62" s="17"/>
      <c r="J62" s="20">
        <f>IFERROR(__xludf.DUMMYFUNCTION("""COMPUTED_VALUE"""),5.05)</f>
        <v>5.05</v>
      </c>
      <c r="K62" s="17">
        <f t="shared" si="1"/>
        <v>0.00138613</v>
      </c>
      <c r="L62" s="20">
        <f t="shared" si="4"/>
        <v>5.05</v>
      </c>
      <c r="M62" s="17">
        <f t="shared" si="2"/>
        <v>3643.236926</v>
      </c>
      <c r="N62" s="17" t="str">
        <f t="shared" si="3"/>
        <v/>
      </c>
    </row>
    <row r="63">
      <c r="A63" s="17" t="str">
        <f>IFERROR(__xludf.DUMMYFUNCTION("""COMPUTED_VALUE"""),"Compra")</f>
        <v>Compra</v>
      </c>
      <c r="B63" s="19">
        <f>IFERROR(__xludf.DUMMYFUNCTION("""COMPUTED_VALUE"""),45861.0)</f>
        <v>45861</v>
      </c>
      <c r="C63" s="17" t="str">
        <f>IFERROR(__xludf.DUMMYFUNCTION("""COMPUTED_VALUE"""),"GLD")</f>
        <v>GLD</v>
      </c>
      <c r="D63" s="17">
        <f>IFERROR(__xludf.DUMMYFUNCTION("""COMPUTED_VALUE"""),0.03199)</f>
        <v>0.03199</v>
      </c>
      <c r="E63" s="17">
        <f>IFERROR(__xludf.DUMMYFUNCTION("""COMPUTED_VALUE"""),10.0)</f>
        <v>10</v>
      </c>
      <c r="F63" s="17"/>
      <c r="G63" s="17">
        <f>IFERROR(__xludf.DUMMYFUNCTION("""COMPUTED_VALUE"""),312.54)</f>
        <v>312.54</v>
      </c>
      <c r="H63" s="20">
        <f>IFERROR(__xludf.DUMMYFUNCTION("""COMPUTED_VALUE"""),0.15)</f>
        <v>0.15</v>
      </c>
      <c r="I63" s="17"/>
      <c r="J63" s="20">
        <f>IFERROR(__xludf.DUMMYFUNCTION("""COMPUTED_VALUE"""),10.15)</f>
        <v>10.15</v>
      </c>
      <c r="K63" s="17">
        <f t="shared" si="1"/>
        <v>0.03199</v>
      </c>
      <c r="L63" s="20">
        <f t="shared" si="4"/>
        <v>10.15</v>
      </c>
      <c r="M63" s="17">
        <f t="shared" si="2"/>
        <v>317.2866521</v>
      </c>
      <c r="N63" s="17" t="str">
        <f t="shared" si="3"/>
        <v/>
      </c>
    </row>
    <row r="64">
      <c r="A64" s="17" t="str">
        <f>IFERROR(__xludf.DUMMYFUNCTION("""COMPUTED_VALUE"""),"Compra")</f>
        <v>Compra</v>
      </c>
      <c r="B64" s="19">
        <f>IFERROR(__xludf.DUMMYFUNCTION("""COMPUTED_VALUE"""),45861.0)</f>
        <v>45861</v>
      </c>
      <c r="C64" s="17" t="str">
        <f>IFERROR(__xludf.DUMMYFUNCTION("""COMPUTED_VALUE"""),"VEU")</f>
        <v>VEU</v>
      </c>
      <c r="D64" s="17">
        <f>IFERROR(__xludf.DUMMYFUNCTION("""COMPUTED_VALUE"""),0.21707)</f>
        <v>0.21707</v>
      </c>
      <c r="E64" s="17">
        <f>IFERROR(__xludf.DUMMYFUNCTION("""COMPUTED_VALUE"""),15.0)</f>
        <v>15</v>
      </c>
      <c r="F64" s="17"/>
      <c r="G64" s="17">
        <f>IFERROR(__xludf.DUMMYFUNCTION("""COMPUTED_VALUE"""),69.1)</f>
        <v>69.1</v>
      </c>
      <c r="H64" s="20">
        <f>IFERROR(__xludf.DUMMYFUNCTION("""COMPUTED_VALUE"""),0.15)</f>
        <v>0.15</v>
      </c>
      <c r="I64" s="17"/>
      <c r="J64" s="20">
        <f>IFERROR(__xludf.DUMMYFUNCTION("""COMPUTED_VALUE"""),15.15)</f>
        <v>15.15</v>
      </c>
      <c r="K64" s="17">
        <f t="shared" si="1"/>
        <v>0.21707</v>
      </c>
      <c r="L64" s="20">
        <f t="shared" si="4"/>
        <v>15.15</v>
      </c>
      <c r="M64" s="17">
        <f t="shared" si="2"/>
        <v>69.79315428</v>
      </c>
      <c r="N64" s="17" t="str">
        <f t="shared" si="3"/>
        <v/>
      </c>
    </row>
    <row r="65">
      <c r="A65" s="17" t="str">
        <f>IFERROR(__xludf.DUMMYFUNCTION("""COMPUTED_VALUE"""),"Compra")</f>
        <v>Compra</v>
      </c>
      <c r="B65" s="19">
        <f>IFERROR(__xludf.DUMMYFUNCTION("""COMPUTED_VALUE"""),45870.0)</f>
        <v>45870</v>
      </c>
      <c r="C65" s="17" t="str">
        <f>IFERROR(__xludf.DUMMYFUNCTION("""COMPUTED_VALUE"""),"ETHUSD")</f>
        <v>ETHUSD</v>
      </c>
      <c r="D65" s="17">
        <f>IFERROR(__xludf.DUMMYFUNCTION("""COMPUTED_VALUE"""),0.00399)</f>
        <v>0.00399</v>
      </c>
      <c r="E65" s="17">
        <f>IFERROR(__xludf.DUMMYFUNCTION("""COMPUTED_VALUE"""),14.42)</f>
        <v>14.42</v>
      </c>
      <c r="F65" s="17"/>
      <c r="G65" s="17">
        <f>IFERROR(__xludf.DUMMYFUNCTION("""COMPUTED_VALUE"""),3614.03)</f>
        <v>3614.03</v>
      </c>
      <c r="H65" s="20">
        <f>IFERROR(__xludf.DUMMYFUNCTION("""COMPUTED_VALUE"""),0.14)</f>
        <v>0.14</v>
      </c>
      <c r="I65" s="17"/>
      <c r="J65" s="20">
        <f>IFERROR(__xludf.DUMMYFUNCTION("""COMPUTED_VALUE"""),14.28)</f>
        <v>14.28</v>
      </c>
      <c r="K65" s="17">
        <f t="shared" si="1"/>
        <v>0.00399</v>
      </c>
      <c r="L65" s="20">
        <f t="shared" si="4"/>
        <v>14.28</v>
      </c>
      <c r="M65" s="17">
        <f t="shared" si="2"/>
        <v>3578.947368</v>
      </c>
      <c r="N65" s="17" t="str">
        <f t="shared" si="3"/>
        <v/>
      </c>
    </row>
    <row r="66">
      <c r="A66" s="17" t="str">
        <f>IFERROR(__xludf.DUMMYFUNCTION("""COMPUTED_VALUE"""),"Compra")</f>
        <v>Compra</v>
      </c>
      <c r="B66" s="19">
        <f>IFERROR(__xludf.DUMMYFUNCTION("""COMPUTED_VALUE"""),45870.0)</f>
        <v>45870</v>
      </c>
      <c r="C66" s="17" t="str">
        <f>IFERROR(__xludf.DUMMYFUNCTION("""COMPUTED_VALUE"""),"GLD")</f>
        <v>GLD</v>
      </c>
      <c r="D66" s="17">
        <f>IFERROR(__xludf.DUMMYFUNCTION("""COMPUTED_VALUE"""),0.07082)</f>
        <v>0.07082</v>
      </c>
      <c r="E66" s="17">
        <f>IFERROR(__xludf.DUMMYFUNCTION("""COMPUTED_VALUE"""),21.82)</f>
        <v>21.82</v>
      </c>
      <c r="F66" s="17"/>
      <c r="G66" s="17">
        <f>IFERROR(__xludf.DUMMYFUNCTION("""COMPUTED_VALUE"""),308.08)</f>
        <v>308.08</v>
      </c>
      <c r="H66" s="20">
        <f>IFERROR(__xludf.DUMMYFUNCTION("""COMPUTED_VALUE"""),0.15)</f>
        <v>0.15</v>
      </c>
      <c r="I66" s="17"/>
      <c r="J66" s="20">
        <f>IFERROR(__xludf.DUMMYFUNCTION("""COMPUTED_VALUE"""),21.97)</f>
        <v>21.97</v>
      </c>
      <c r="K66" s="17">
        <f t="shared" si="1"/>
        <v>0.07082</v>
      </c>
      <c r="L66" s="20">
        <f t="shared" si="4"/>
        <v>21.97</v>
      </c>
      <c r="M66" s="17">
        <f t="shared" si="2"/>
        <v>310.2231008</v>
      </c>
      <c r="N66" s="17" t="str">
        <f t="shared" si="3"/>
        <v/>
      </c>
    </row>
    <row r="67">
      <c r="A67" s="17" t="str">
        <f>IFERROR(__xludf.DUMMYFUNCTION("""COMPUTED_VALUE"""),"Venta")</f>
        <v>Venta</v>
      </c>
      <c r="B67" s="19">
        <f>IFERROR(__xludf.DUMMYFUNCTION("""COMPUTED_VALUE"""),45870.0)</f>
        <v>45870</v>
      </c>
      <c r="C67" s="17" t="str">
        <f>IFERROR(__xludf.DUMMYFUNCTION("""COMPUTED_VALUE"""),"NVDA")</f>
        <v>NVDA</v>
      </c>
      <c r="D67" s="17">
        <f>IFERROR(__xludf.DUMMYFUNCTION("""COMPUTED_VALUE"""),0.0875)</f>
        <v>0.0875</v>
      </c>
      <c r="E67" s="17">
        <f>IFERROR(__xludf.DUMMYFUNCTION("""COMPUTED_VALUE"""),15.21)</f>
        <v>15.21</v>
      </c>
      <c r="F67" s="17"/>
      <c r="G67" s="17">
        <f>IFERROR(__xludf.DUMMYFUNCTION("""COMPUTED_VALUE"""),173.77)</f>
        <v>173.77</v>
      </c>
      <c r="H67" s="20">
        <f>IFERROR(__xludf.DUMMYFUNCTION("""COMPUTED_VALUE"""),0.16)</f>
        <v>0.16</v>
      </c>
      <c r="I67" s="17"/>
      <c r="J67" s="20">
        <f>IFERROR(__xludf.DUMMYFUNCTION("""COMPUTED_VALUE"""),15.05)</f>
        <v>15.05</v>
      </c>
      <c r="K67" s="17">
        <f t="shared" si="1"/>
        <v>-0.0875</v>
      </c>
      <c r="L67" s="17">
        <f t="shared" si="4"/>
        <v>0</v>
      </c>
      <c r="M67" s="17">
        <f t="shared" si="2"/>
        <v>0</v>
      </c>
      <c r="N67" s="20">
        <f t="shared" si="3"/>
        <v>15.05</v>
      </c>
    </row>
    <row r="68">
      <c r="A68" s="17" t="str">
        <f>IFERROR(__xludf.DUMMYFUNCTION("""COMPUTED_VALUE"""),"Compra")</f>
        <v>Compra</v>
      </c>
      <c r="B68" s="19">
        <f>IFERROR(__xludf.DUMMYFUNCTION("""COMPUTED_VALUE"""),45890.0)</f>
        <v>45890</v>
      </c>
      <c r="C68" s="17" t="str">
        <f>IFERROR(__xludf.DUMMYFUNCTION("""COMPUTED_VALUE"""),"EEM")</f>
        <v>EEM</v>
      </c>
      <c r="D68" s="17">
        <f>IFERROR(__xludf.DUMMYFUNCTION("""COMPUTED_VALUE"""),0.2014)</f>
        <v>0.2014</v>
      </c>
      <c r="E68" s="17">
        <f>IFERROR(__xludf.DUMMYFUNCTION("""COMPUTED_VALUE"""),10.0)</f>
        <v>10</v>
      </c>
      <c r="F68" s="17"/>
      <c r="G68" s="17">
        <f>IFERROR(__xludf.DUMMYFUNCTION("""COMPUTED_VALUE"""),49.65)</f>
        <v>49.65</v>
      </c>
      <c r="H68" s="20">
        <f>IFERROR(__xludf.DUMMYFUNCTION("""COMPUTED_VALUE"""),0.15)</f>
        <v>0.15</v>
      </c>
      <c r="I68" s="17"/>
      <c r="J68" s="20">
        <f>IFERROR(__xludf.DUMMYFUNCTION("""COMPUTED_VALUE"""),10.15)</f>
        <v>10.15</v>
      </c>
      <c r="K68" s="17">
        <f t="shared" si="1"/>
        <v>0.2014</v>
      </c>
      <c r="L68" s="20">
        <f t="shared" si="4"/>
        <v>10.15</v>
      </c>
      <c r="M68" s="17">
        <f t="shared" si="2"/>
        <v>50.39721946</v>
      </c>
      <c r="N68" s="17" t="str">
        <f t="shared" si="3"/>
        <v/>
      </c>
    </row>
    <row r="69">
      <c r="A69" s="17" t="str">
        <f>IFERROR(__xludf.DUMMYFUNCTION("""COMPUTED_VALUE"""),"Compra")</f>
        <v>Compra</v>
      </c>
      <c r="B69" s="19">
        <f>IFERROR(__xludf.DUMMYFUNCTION("""COMPUTED_VALUE"""),45890.0)</f>
        <v>45890</v>
      </c>
      <c r="C69" s="17" t="str">
        <f>IFERROR(__xludf.DUMMYFUNCTION("""COMPUTED_VALUE"""),"NVDA")</f>
        <v>NVDA</v>
      </c>
      <c r="D69" s="17">
        <f>IFERROR(__xludf.DUMMYFUNCTION("""COMPUTED_VALUE"""),0.06861)</f>
        <v>0.06861</v>
      </c>
      <c r="E69" s="17">
        <f>IFERROR(__xludf.DUMMYFUNCTION("""COMPUTED_VALUE"""),12.0)</f>
        <v>12</v>
      </c>
      <c r="F69" s="17"/>
      <c r="G69" s="17">
        <f>IFERROR(__xludf.DUMMYFUNCTION("""COMPUTED_VALUE"""),174.88)</f>
        <v>174.88</v>
      </c>
      <c r="H69" s="20">
        <f>IFERROR(__xludf.DUMMYFUNCTION("""COMPUTED_VALUE"""),0.15)</f>
        <v>0.15</v>
      </c>
      <c r="I69" s="17"/>
      <c r="J69" s="20">
        <f>IFERROR(__xludf.DUMMYFUNCTION("""COMPUTED_VALUE"""),12.15)</f>
        <v>12.15</v>
      </c>
      <c r="K69" s="17">
        <f t="shared" si="1"/>
        <v>0.06861</v>
      </c>
      <c r="L69" s="20">
        <f t="shared" si="4"/>
        <v>12.15</v>
      </c>
      <c r="M69" s="17">
        <f t="shared" si="2"/>
        <v>177.0878881</v>
      </c>
      <c r="N69" s="17" t="str">
        <f t="shared" si="3"/>
        <v/>
      </c>
    </row>
    <row r="70">
      <c r="A70" s="17" t="str">
        <f>IFERROR(__xludf.DUMMYFUNCTION("""COMPUTED_VALUE"""),"Compra")</f>
        <v>Compra</v>
      </c>
      <c r="B70" s="19">
        <f>IFERROR(__xludf.DUMMYFUNCTION("""COMPUTED_VALUE"""),45890.0)</f>
        <v>45890</v>
      </c>
      <c r="C70" s="17" t="str">
        <f>IFERROR(__xludf.DUMMYFUNCTION("""COMPUTED_VALUE"""),"NU")</f>
        <v>NU</v>
      </c>
      <c r="D70" s="17">
        <f>IFERROR(__xludf.DUMMYFUNCTION("""COMPUTED_VALUE"""),0.58651)</f>
        <v>0.58651</v>
      </c>
      <c r="E70" s="17">
        <f>IFERROR(__xludf.DUMMYFUNCTION("""COMPUTED_VALUE"""),8.0)</f>
        <v>8</v>
      </c>
      <c r="F70" s="17"/>
      <c r="G70" s="17">
        <f>IFERROR(__xludf.DUMMYFUNCTION("""COMPUTED_VALUE"""),13.64)</f>
        <v>13.64</v>
      </c>
      <c r="H70" s="20">
        <f>IFERROR(__xludf.DUMMYFUNCTION("""COMPUTED_VALUE"""),0.15)</f>
        <v>0.15</v>
      </c>
      <c r="I70" s="17"/>
      <c r="J70" s="20">
        <f>IFERROR(__xludf.DUMMYFUNCTION("""COMPUTED_VALUE"""),8.15)</f>
        <v>8.15</v>
      </c>
      <c r="K70" s="17">
        <f t="shared" si="1"/>
        <v>0.58651</v>
      </c>
      <c r="L70" s="20">
        <f t="shared" si="4"/>
        <v>8.15</v>
      </c>
      <c r="M70" s="17">
        <f t="shared" si="2"/>
        <v>13.89575625</v>
      </c>
      <c r="N70" s="17" t="str">
        <f t="shared" si="3"/>
        <v/>
      </c>
    </row>
    <row r="71">
      <c r="A71" s="17" t="str">
        <f>IFERROR(__xludf.DUMMYFUNCTION("""COMPUTED_VALUE"""),"Compra")</f>
        <v>Compra</v>
      </c>
      <c r="B71" s="19">
        <f>IFERROR(__xludf.DUMMYFUNCTION("""COMPUTED_VALUE"""),45890.0)</f>
        <v>45890</v>
      </c>
      <c r="C71" s="17" t="str">
        <f>IFERROR(__xludf.DUMMYFUNCTION("""COMPUTED_VALUE"""),"ACWI")</f>
        <v>ACWI</v>
      </c>
      <c r="D71" s="17">
        <f>IFERROR(__xludf.DUMMYFUNCTION("""COMPUTED_VALUE"""),0.09086)</f>
        <v>0.09086</v>
      </c>
      <c r="E71" s="17">
        <f>IFERROR(__xludf.DUMMYFUNCTION("""COMPUTED_VALUE"""),12.0)</f>
        <v>12</v>
      </c>
      <c r="F71" s="17"/>
      <c r="G71" s="17">
        <f>IFERROR(__xludf.DUMMYFUNCTION("""COMPUTED_VALUE"""),132.06)</f>
        <v>132.06</v>
      </c>
      <c r="H71" s="20">
        <f>IFERROR(__xludf.DUMMYFUNCTION("""COMPUTED_VALUE"""),0.15)</f>
        <v>0.15</v>
      </c>
      <c r="I71" s="17"/>
      <c r="J71" s="20">
        <f>IFERROR(__xludf.DUMMYFUNCTION("""COMPUTED_VALUE"""),12.15)</f>
        <v>12.15</v>
      </c>
      <c r="K71" s="17">
        <f t="shared" si="1"/>
        <v>0.09086</v>
      </c>
      <c r="L71" s="20">
        <f t="shared" si="4"/>
        <v>12.15</v>
      </c>
      <c r="M71" s="17">
        <f t="shared" si="2"/>
        <v>133.72221</v>
      </c>
      <c r="N71" s="17" t="str">
        <f t="shared" si="3"/>
        <v/>
      </c>
    </row>
    <row r="72">
      <c r="A72" s="17" t="str">
        <f>IFERROR(__xludf.DUMMYFUNCTION("""COMPUTED_VALUE"""),"Compra")</f>
        <v>Compra</v>
      </c>
      <c r="B72" s="19">
        <f>IFERROR(__xludf.DUMMYFUNCTION("""COMPUTED_VALUE"""),45890.0)</f>
        <v>45890</v>
      </c>
      <c r="C72" s="17" t="str">
        <f>IFERROR(__xludf.DUMMYFUNCTION("""COMPUTED_VALUE"""),"VEU")</f>
        <v>VEU</v>
      </c>
      <c r="D72" s="17">
        <f>IFERROR(__xludf.DUMMYFUNCTION("""COMPUTED_VALUE"""),0.07218)</f>
        <v>0.07218</v>
      </c>
      <c r="E72" s="17">
        <f>IFERROR(__xludf.DUMMYFUNCTION("""COMPUTED_VALUE"""),5.0)</f>
        <v>5</v>
      </c>
      <c r="F72" s="17"/>
      <c r="G72" s="17">
        <f>IFERROR(__xludf.DUMMYFUNCTION("""COMPUTED_VALUE"""),69.27)</f>
        <v>69.27</v>
      </c>
      <c r="H72" s="20">
        <f>IFERROR(__xludf.DUMMYFUNCTION("""COMPUTED_VALUE"""),0.15)</f>
        <v>0.15</v>
      </c>
      <c r="I72" s="17"/>
      <c r="J72" s="20">
        <f>IFERROR(__xludf.DUMMYFUNCTION("""COMPUTED_VALUE"""),5.15)</f>
        <v>5.15</v>
      </c>
      <c r="K72" s="17">
        <f t="shared" si="1"/>
        <v>0.07218</v>
      </c>
      <c r="L72" s="20">
        <f t="shared" si="4"/>
        <v>5.15</v>
      </c>
      <c r="M72" s="17">
        <f t="shared" si="2"/>
        <v>71.34940427</v>
      </c>
      <c r="N72" s="17" t="str">
        <f t="shared" si="3"/>
        <v/>
      </c>
    </row>
    <row r="73">
      <c r="A73" s="17" t="str">
        <f>IFERROR(__xludf.DUMMYFUNCTION("""COMPUTED_VALUE"""),"Compra")</f>
        <v>Compra</v>
      </c>
      <c r="B73" s="19">
        <f>IFERROR(__xludf.DUMMYFUNCTION("""COMPUTED_VALUE"""),45890.0)</f>
        <v>45890</v>
      </c>
      <c r="C73" s="17" t="str">
        <f>IFERROR(__xludf.DUMMYFUNCTION("""COMPUTED_VALUE"""),"BTCUSD")</f>
        <v>BTCUSD</v>
      </c>
      <c r="D73" s="17">
        <f>IFERROR(__xludf.DUMMYFUNCTION("""COMPUTED_VALUE"""),7.138E-5)</f>
        <v>0.00007138</v>
      </c>
      <c r="E73" s="17">
        <f>IFERROR(__xludf.DUMMYFUNCTION("""COMPUTED_VALUE"""),8.0)</f>
        <v>8</v>
      </c>
      <c r="F73" s="17"/>
      <c r="G73" s="17">
        <f>IFERROR(__xludf.DUMMYFUNCTION("""COMPUTED_VALUE"""),112076.21)</f>
        <v>112076.21</v>
      </c>
      <c r="H73" s="20">
        <f>IFERROR(__xludf.DUMMYFUNCTION("""COMPUTED_VALUE"""),0.08)</f>
        <v>0.08</v>
      </c>
      <c r="I73" s="17"/>
      <c r="J73" s="20">
        <f>IFERROR(__xludf.DUMMYFUNCTION("""COMPUTED_VALUE"""),8.08)</f>
        <v>8.08</v>
      </c>
      <c r="K73" s="17">
        <f t="shared" si="1"/>
        <v>0.00007138</v>
      </c>
      <c r="L73" s="20">
        <f t="shared" si="4"/>
        <v>8.08</v>
      </c>
      <c r="M73" s="17">
        <f t="shared" si="2"/>
        <v>113196.9739</v>
      </c>
      <c r="N73" s="17" t="str">
        <f t="shared" si="3"/>
        <v/>
      </c>
    </row>
    <row r="74">
      <c r="A74" s="17" t="str">
        <f>IFERROR(__xludf.DUMMYFUNCTION("""COMPUTED_VALUE"""),"Compra")</f>
        <v>Compra</v>
      </c>
      <c r="B74" s="19">
        <f>IFERROR(__xludf.DUMMYFUNCTION("""COMPUTED_VALUE"""),45890.0)</f>
        <v>45890</v>
      </c>
      <c r="C74" s="17" t="str">
        <f>IFERROR(__xludf.DUMMYFUNCTION("""COMPUTED_VALUE"""),"BTCUSD")</f>
        <v>BTCUSD</v>
      </c>
      <c r="D74" s="17">
        <f>IFERROR(__xludf.DUMMYFUNCTION("""COMPUTED_VALUE"""),6.247E-5)</f>
        <v>0.00006247</v>
      </c>
      <c r="E74" s="17">
        <f>IFERROR(__xludf.DUMMYFUNCTION("""COMPUTED_VALUE"""),7.0)</f>
        <v>7</v>
      </c>
      <c r="F74" s="17"/>
      <c r="G74" s="17">
        <f>IFERROR(__xludf.DUMMYFUNCTION("""COMPUTED_VALUE"""),112053.78)</f>
        <v>112053.78</v>
      </c>
      <c r="H74" s="20">
        <f>IFERROR(__xludf.DUMMYFUNCTION("""COMPUTED_VALUE"""),0.07)</f>
        <v>0.07</v>
      </c>
      <c r="I74" s="17"/>
      <c r="J74" s="20">
        <f>IFERROR(__xludf.DUMMYFUNCTION("""COMPUTED_VALUE"""),7.07)</f>
        <v>7.07</v>
      </c>
      <c r="K74" s="17">
        <f t="shared" si="1"/>
        <v>0.00006247</v>
      </c>
      <c r="L74" s="20">
        <f t="shared" si="4"/>
        <v>7.07</v>
      </c>
      <c r="M74" s="17">
        <f t="shared" si="2"/>
        <v>113174.3237</v>
      </c>
      <c r="N74" s="17" t="str">
        <f t="shared" si="3"/>
        <v/>
      </c>
    </row>
    <row r="75">
      <c r="A75" s="17" t="str">
        <f>IFERROR(__xludf.DUMMYFUNCTION("""COMPUTED_VALUE"""),"Compra")</f>
        <v>Compra</v>
      </c>
      <c r="B75" s="19">
        <f>IFERROR(__xludf.DUMMYFUNCTION("""COMPUTED_VALUE"""),45890.0)</f>
        <v>45890</v>
      </c>
      <c r="C75" s="17" t="str">
        <f>IFERROR(__xludf.DUMMYFUNCTION("""COMPUTED_VALUE"""),"EEM")</f>
        <v>EEM</v>
      </c>
      <c r="D75" s="17">
        <f>IFERROR(__xludf.DUMMYFUNCTION("""COMPUTED_VALUE"""),0.2014)</f>
        <v>0.2014</v>
      </c>
      <c r="E75" s="17">
        <f>IFERROR(__xludf.DUMMYFUNCTION("""COMPUTED_VALUE"""),10.0)</f>
        <v>10</v>
      </c>
      <c r="F75" s="17"/>
      <c r="G75" s="17">
        <f>IFERROR(__xludf.DUMMYFUNCTION("""COMPUTED_VALUE"""),49.65)</f>
        <v>49.65</v>
      </c>
      <c r="H75" s="20">
        <f>IFERROR(__xludf.DUMMYFUNCTION("""COMPUTED_VALUE"""),0.15)</f>
        <v>0.15</v>
      </c>
      <c r="I75" s="17"/>
      <c r="J75" s="20">
        <f>IFERROR(__xludf.DUMMYFUNCTION("""COMPUTED_VALUE"""),10.15)</f>
        <v>10.15</v>
      </c>
      <c r="K75" s="17">
        <f t="shared" si="1"/>
        <v>0.2014</v>
      </c>
      <c r="L75" s="20">
        <f t="shared" si="4"/>
        <v>10.15</v>
      </c>
      <c r="M75" s="17">
        <f t="shared" si="2"/>
        <v>50.39721946</v>
      </c>
      <c r="N75" s="17" t="str">
        <f t="shared" si="3"/>
        <v/>
      </c>
    </row>
    <row r="76">
      <c r="A76" s="17" t="str">
        <f>IFERROR(__xludf.DUMMYFUNCTION("""COMPUTED_VALUE"""),"Depósito")</f>
        <v>Depósito</v>
      </c>
      <c r="B76" s="19">
        <f>IFERROR(__xludf.DUMMYFUNCTION("""COMPUTED_VALUE"""),45924.0)</f>
        <v>45924</v>
      </c>
      <c r="C76" s="17" t="str">
        <f>IFERROR(__xludf.DUMMYFUNCTION("""COMPUTED_VALUE"""),"USD")</f>
        <v>USD</v>
      </c>
      <c r="D76" s="17"/>
      <c r="E76" s="17">
        <f>IFERROR(__xludf.DUMMYFUNCTION("""COMPUTED_VALUE"""),50.0)</f>
        <v>50</v>
      </c>
      <c r="F76" s="17">
        <f>IFERROR(__xludf.DUMMYFUNCTION("""COMPUTED_VALUE"""),206510.0)</f>
        <v>206510</v>
      </c>
      <c r="G76" s="17"/>
      <c r="H76" s="20"/>
      <c r="I76" s="17"/>
      <c r="J76" s="20">
        <f>IFERROR(__xludf.DUMMYFUNCTION("""COMPUTED_VALUE"""),50.0)</f>
        <v>50</v>
      </c>
      <c r="K76" s="17" t="str">
        <f t="shared" si="1"/>
        <v/>
      </c>
      <c r="L76" s="17" t="str">
        <f t="shared" si="4"/>
        <v/>
      </c>
      <c r="M76" s="17" t="str">
        <f t="shared" si="2"/>
        <v>#DIV/0!</v>
      </c>
      <c r="N76" s="17" t="str">
        <f t="shared" si="3"/>
        <v/>
      </c>
    </row>
    <row r="77">
      <c r="A77" s="17" t="str">
        <f>IFERROR(__xludf.DUMMYFUNCTION("""COMPUTED_VALUE"""),"Dividendo")</f>
        <v>Dividendo</v>
      </c>
      <c r="B77" s="19">
        <f>IFERROR(__xludf.DUMMYFUNCTION("""COMPUTED_VALUE"""),45924.0)</f>
        <v>45924</v>
      </c>
      <c r="C77" s="17" t="str">
        <f>IFERROR(__xludf.DUMMYFUNCTION("""COMPUTED_VALUE"""),"VEU")</f>
        <v>VEU</v>
      </c>
      <c r="D77" s="17"/>
      <c r="E77" s="17">
        <f>IFERROR(__xludf.DUMMYFUNCTION("""COMPUTED_VALUE"""),0.47)</f>
        <v>0.47</v>
      </c>
      <c r="F77" s="17"/>
      <c r="G77" s="17"/>
      <c r="H77" s="20">
        <f>IFERROR(__xludf.DUMMYFUNCTION("""COMPUTED_VALUE"""),0.14)</f>
        <v>0.14</v>
      </c>
      <c r="I77" s="17"/>
      <c r="J77" s="20">
        <f>IFERROR(__xludf.DUMMYFUNCTION("""COMPUTED_VALUE"""),0.33)</f>
        <v>0.33</v>
      </c>
      <c r="K77" s="17">
        <f t="shared" si="1"/>
        <v>0</v>
      </c>
      <c r="L77" s="17">
        <f t="shared" si="4"/>
        <v>0</v>
      </c>
      <c r="M77" s="17">
        <f t="shared" si="2"/>
        <v>0</v>
      </c>
      <c r="N77" s="20">
        <f t="shared" si="3"/>
        <v>0.33</v>
      </c>
    </row>
    <row r="78">
      <c r="A78" s="17" t="str">
        <f>IFERROR(__xludf.DUMMYFUNCTION("""COMPUTED_VALUE"""),"Compra")</f>
        <v>Compra</v>
      </c>
      <c r="B78" s="19">
        <f>IFERROR(__xludf.DUMMYFUNCTION("""COMPUTED_VALUE"""),45929.0)</f>
        <v>45929</v>
      </c>
      <c r="C78" s="17" t="str">
        <f>IFERROR(__xludf.DUMMYFUNCTION("""COMPUTED_VALUE"""),"BTCUSD")</f>
        <v>BTCUSD</v>
      </c>
      <c r="D78" s="17">
        <f>IFERROR(__xludf.DUMMYFUNCTION("""COMPUTED_VALUE"""),8.912E-5)</f>
        <v>0.00008912</v>
      </c>
      <c r="E78" s="17">
        <f>IFERROR(__xludf.DUMMYFUNCTION("""COMPUTED_VALUE"""),10.0)</f>
        <v>10</v>
      </c>
      <c r="F78" s="17"/>
      <c r="G78" s="17">
        <f>IFERROR(__xludf.DUMMYFUNCTION("""COMPUTED_VALUE"""),112208.25)</f>
        <v>112208.25</v>
      </c>
      <c r="H78" s="20">
        <f>IFERROR(__xludf.DUMMYFUNCTION("""COMPUTED_VALUE"""),0.1)</f>
        <v>0.1</v>
      </c>
      <c r="I78" s="17"/>
      <c r="J78" s="20">
        <f>IFERROR(__xludf.DUMMYFUNCTION("""COMPUTED_VALUE"""),10.1)</f>
        <v>10.1</v>
      </c>
      <c r="K78" s="17">
        <f t="shared" si="1"/>
        <v>0.00008912</v>
      </c>
      <c r="L78" s="20">
        <f t="shared" si="4"/>
        <v>10.1</v>
      </c>
      <c r="M78" s="17">
        <f t="shared" si="2"/>
        <v>113330.3411</v>
      </c>
      <c r="N78" s="17" t="str">
        <f t="shared" si="3"/>
        <v/>
      </c>
    </row>
    <row r="79">
      <c r="A79" s="17" t="str">
        <f>IFERROR(__xludf.DUMMYFUNCTION("""COMPUTED_VALUE"""),"Compra")</f>
        <v>Compra</v>
      </c>
      <c r="B79" s="19">
        <f>IFERROR(__xludf.DUMMYFUNCTION("""COMPUTED_VALUE"""),45929.0)</f>
        <v>45929</v>
      </c>
      <c r="C79" s="17" t="str">
        <f>IFERROR(__xludf.DUMMYFUNCTION("""COMPUTED_VALUE"""),"ETHUSD")</f>
        <v>ETHUSD</v>
      </c>
      <c r="D79" s="17">
        <f>IFERROR(__xludf.DUMMYFUNCTION("""COMPUTED_VALUE"""),0.00194643)</f>
        <v>0.00194643</v>
      </c>
      <c r="E79" s="17">
        <f>IFERROR(__xludf.DUMMYFUNCTION("""COMPUTED_VALUE"""),8.0)</f>
        <v>8</v>
      </c>
      <c r="F79" s="17"/>
      <c r="G79" s="17">
        <f>IFERROR(__xludf.DUMMYFUNCTION("""COMPUTED_VALUE"""),4110.08)</f>
        <v>4110.08</v>
      </c>
      <c r="H79" s="20">
        <f>IFERROR(__xludf.DUMMYFUNCTION("""COMPUTED_VALUE"""),0.08)</f>
        <v>0.08</v>
      </c>
      <c r="I79" s="17"/>
      <c r="J79" s="20">
        <f>IFERROR(__xludf.DUMMYFUNCTION("""COMPUTED_VALUE"""),8.08)</f>
        <v>8.08</v>
      </c>
      <c r="K79" s="17">
        <f t="shared" si="1"/>
        <v>0.00194643</v>
      </c>
      <c r="L79" s="20">
        <f t="shared" si="4"/>
        <v>8.08</v>
      </c>
      <c r="M79" s="17">
        <f t="shared" si="2"/>
        <v>4151.189614</v>
      </c>
      <c r="N79" s="17" t="str">
        <f t="shared" si="3"/>
        <v/>
      </c>
    </row>
    <row r="80">
      <c r="A80" s="17" t="str">
        <f>IFERROR(__xludf.DUMMYFUNCTION("""COMPUTED_VALUE"""),"Compra")</f>
        <v>Compra</v>
      </c>
      <c r="B80" s="19">
        <f>IFERROR(__xludf.DUMMYFUNCTION("""COMPUTED_VALUE"""),45929.0)</f>
        <v>45929</v>
      </c>
      <c r="C80" s="17" t="str">
        <f>IFERROR(__xludf.DUMMYFUNCTION("""COMPUTED_VALUE"""),"EEM")</f>
        <v>EEM</v>
      </c>
      <c r="D80" s="17">
        <f>IFERROR(__xludf.DUMMYFUNCTION("""COMPUTED_VALUE"""),0.09376)</f>
        <v>0.09376</v>
      </c>
      <c r="E80" s="17">
        <f>IFERROR(__xludf.DUMMYFUNCTION("""COMPUTED_VALUE"""),5.0)</f>
        <v>5</v>
      </c>
      <c r="F80" s="17"/>
      <c r="G80" s="17">
        <f>IFERROR(__xludf.DUMMYFUNCTION("""COMPUTED_VALUE"""),53.32)</f>
        <v>53.32</v>
      </c>
      <c r="H80" s="20">
        <f>IFERROR(__xludf.DUMMYFUNCTION("""COMPUTED_VALUE"""),0.15)</f>
        <v>0.15</v>
      </c>
      <c r="I80" s="17"/>
      <c r="J80" s="20">
        <f>IFERROR(__xludf.DUMMYFUNCTION("""COMPUTED_VALUE"""),5.15)</f>
        <v>5.15</v>
      </c>
      <c r="K80" s="17">
        <f t="shared" si="1"/>
        <v>0.09376</v>
      </c>
      <c r="L80" s="20">
        <f t="shared" si="4"/>
        <v>5.15</v>
      </c>
      <c r="M80" s="17">
        <f t="shared" si="2"/>
        <v>54.9274744</v>
      </c>
      <c r="N80" s="17" t="str">
        <f t="shared" si="3"/>
        <v/>
      </c>
    </row>
    <row r="81">
      <c r="A81" s="17" t="str">
        <f>IFERROR(__xludf.DUMMYFUNCTION("""COMPUTED_VALUE"""),"Compra")</f>
        <v>Compra</v>
      </c>
      <c r="B81" s="19">
        <f>IFERROR(__xludf.DUMMYFUNCTION("""COMPUTED_VALUE"""),45929.0)</f>
        <v>45929</v>
      </c>
      <c r="C81" s="17" t="str">
        <f>IFERROR(__xludf.DUMMYFUNCTION("""COMPUTED_VALUE"""),"VEU")</f>
        <v>VEU</v>
      </c>
      <c r="D81" s="17">
        <f>IFERROR(__xludf.DUMMYFUNCTION("""COMPUTED_VALUE"""),0.07024)</f>
        <v>0.07024</v>
      </c>
      <c r="E81" s="17">
        <f>IFERROR(__xludf.DUMMYFUNCTION("""COMPUTED_VALUE"""),5.0)</f>
        <v>5</v>
      </c>
      <c r="F81" s="17"/>
      <c r="G81" s="17">
        <f>IFERROR(__xludf.DUMMYFUNCTION("""COMPUTED_VALUE"""),71.17)</f>
        <v>71.17</v>
      </c>
      <c r="H81" s="20">
        <f>IFERROR(__xludf.DUMMYFUNCTION("""COMPUTED_VALUE"""),0.15)</f>
        <v>0.15</v>
      </c>
      <c r="I81" s="17"/>
      <c r="J81" s="20">
        <f>IFERROR(__xludf.DUMMYFUNCTION("""COMPUTED_VALUE"""),5.15)</f>
        <v>5.15</v>
      </c>
      <c r="K81" s="17">
        <f t="shared" si="1"/>
        <v>0.07024</v>
      </c>
      <c r="L81" s="20">
        <f t="shared" si="4"/>
        <v>5.15</v>
      </c>
      <c r="M81" s="17">
        <f t="shared" si="2"/>
        <v>73.32004556</v>
      </c>
      <c r="N81" s="17" t="str">
        <f t="shared" si="3"/>
        <v/>
      </c>
    </row>
    <row r="82">
      <c r="A82" s="17" t="str">
        <f>IFERROR(__xludf.DUMMYFUNCTION("""COMPUTED_VALUE"""),"Compra")</f>
        <v>Compra</v>
      </c>
      <c r="B82" s="19">
        <f>IFERROR(__xludf.DUMMYFUNCTION("""COMPUTED_VALUE"""),45929.0)</f>
        <v>45929</v>
      </c>
      <c r="C82" s="17" t="str">
        <f>IFERROR(__xludf.DUMMYFUNCTION("""COMPUTED_VALUE"""),"ACWI")</f>
        <v>ACWI</v>
      </c>
      <c r="D82" s="17">
        <f>IFERROR(__xludf.DUMMYFUNCTION("""COMPUTED_VALUE"""),0.04346)</f>
        <v>0.04346</v>
      </c>
      <c r="E82" s="17">
        <f>IFERROR(__xludf.DUMMYFUNCTION("""COMPUTED_VALUE"""),6.0)</f>
        <v>6</v>
      </c>
      <c r="F82" s="17"/>
      <c r="G82" s="17">
        <f>IFERROR(__xludf.DUMMYFUNCTION("""COMPUTED_VALUE"""),138.04)</f>
        <v>138.04</v>
      </c>
      <c r="H82" s="20">
        <f>IFERROR(__xludf.DUMMYFUNCTION("""COMPUTED_VALUE"""),0.15)</f>
        <v>0.15</v>
      </c>
      <c r="I82" s="17"/>
      <c r="J82" s="20">
        <f>IFERROR(__xludf.DUMMYFUNCTION("""COMPUTED_VALUE"""),6.15)</f>
        <v>6.15</v>
      </c>
      <c r="K82" s="17">
        <f t="shared" si="1"/>
        <v>0.04346</v>
      </c>
      <c r="L82" s="20">
        <f t="shared" si="4"/>
        <v>6.15</v>
      </c>
      <c r="M82" s="17">
        <f t="shared" si="2"/>
        <v>141.509434</v>
      </c>
      <c r="N82" s="17" t="str">
        <f t="shared" si="3"/>
        <v/>
      </c>
    </row>
    <row r="83">
      <c r="A83" s="17" t="str">
        <f>IFERROR(__xludf.DUMMYFUNCTION("""COMPUTED_VALUE"""),"Compra")</f>
        <v>Compra</v>
      </c>
      <c r="B83" s="19">
        <f>IFERROR(__xludf.DUMMYFUNCTION("""COMPUTED_VALUE"""),45929.0)</f>
        <v>45929</v>
      </c>
      <c r="C83" s="17" t="str">
        <f>IFERROR(__xludf.DUMMYFUNCTION("""COMPUTED_VALUE"""),"NVDA")</f>
        <v>NVDA</v>
      </c>
      <c r="D83" s="17">
        <f>IFERROR(__xludf.DUMMYFUNCTION("""COMPUTED_VALUE"""),0.03821)</f>
        <v>0.03821</v>
      </c>
      <c r="E83" s="17">
        <f>IFERROR(__xludf.DUMMYFUNCTION("""COMPUTED_VALUE"""),7.0)</f>
        <v>7</v>
      </c>
      <c r="F83" s="17"/>
      <c r="G83" s="17">
        <f>IFERROR(__xludf.DUMMYFUNCTION("""COMPUTED_VALUE"""),183.19)</f>
        <v>183.19</v>
      </c>
      <c r="H83" s="20">
        <f>IFERROR(__xludf.DUMMYFUNCTION("""COMPUTED_VALUE"""),0.15)</f>
        <v>0.15</v>
      </c>
      <c r="I83" s="17"/>
      <c r="J83" s="20">
        <f>IFERROR(__xludf.DUMMYFUNCTION("""COMPUTED_VALUE"""),7.15)</f>
        <v>7.15</v>
      </c>
      <c r="K83" s="17">
        <f t="shared" si="1"/>
        <v>0.03821</v>
      </c>
      <c r="L83" s="20">
        <f t="shared" si="4"/>
        <v>7.15</v>
      </c>
      <c r="M83" s="17">
        <f t="shared" si="2"/>
        <v>187.1237896</v>
      </c>
      <c r="N83" s="17" t="str">
        <f t="shared" si="3"/>
        <v/>
      </c>
    </row>
    <row r="84">
      <c r="A84" s="17" t="str">
        <f>IFERROR(__xludf.DUMMYFUNCTION("""COMPUTED_VALUE"""),"Compra")</f>
        <v>Compra</v>
      </c>
      <c r="B84" s="19">
        <f>IFERROR(__xludf.DUMMYFUNCTION("""COMPUTED_VALUE"""),45929.0)</f>
        <v>45929</v>
      </c>
      <c r="C84" s="17" t="str">
        <f>IFERROR(__xludf.DUMMYFUNCTION("""COMPUTED_VALUE"""),"GLD")</f>
        <v>GLD</v>
      </c>
      <c r="D84" s="17">
        <f>IFERROR(__xludf.DUMMYFUNCTION("""COMPUTED_VALUE"""),0.01987)</f>
        <v>0.01987</v>
      </c>
      <c r="E84" s="17">
        <f>IFERROR(__xludf.DUMMYFUNCTION("""COMPUTED_VALUE"""),7.0)</f>
        <v>7</v>
      </c>
      <c r="F84" s="17"/>
      <c r="G84" s="17">
        <f>IFERROR(__xludf.DUMMYFUNCTION("""COMPUTED_VALUE"""),352.15)</f>
        <v>352.15</v>
      </c>
      <c r="H84" s="20">
        <f>IFERROR(__xludf.DUMMYFUNCTION("""COMPUTED_VALUE"""),0.15)</f>
        <v>0.15</v>
      </c>
      <c r="I84" s="17"/>
      <c r="J84" s="20">
        <f>IFERROR(__xludf.DUMMYFUNCTION("""COMPUTED_VALUE"""),7.15)</f>
        <v>7.15</v>
      </c>
      <c r="K84" s="17">
        <f t="shared" si="1"/>
        <v>0.01987</v>
      </c>
      <c r="L84" s="20">
        <f t="shared" si="4"/>
        <v>7.15</v>
      </c>
      <c r="M84" s="17">
        <f t="shared" si="2"/>
        <v>359.8389532</v>
      </c>
      <c r="N84" s="17" t="str">
        <f t="shared" si="3"/>
        <v/>
      </c>
    </row>
    <row r="85">
      <c r="A85" s="17" t="str">
        <f>IFERROR(__xludf.DUMMYFUNCTION("""COMPUTED_VALUE"""),"Depósito")</f>
        <v>Depósito</v>
      </c>
      <c r="B85" s="19">
        <f>IFERROR(__xludf.DUMMYFUNCTION("""COMPUTED_VALUE"""),45953.0)</f>
        <v>45953</v>
      </c>
      <c r="C85" s="17" t="str">
        <f>IFERROR(__xludf.DUMMYFUNCTION("""COMPUTED_VALUE"""),"USD")</f>
        <v>USD</v>
      </c>
      <c r="D85" s="17"/>
      <c r="E85" s="17">
        <f>IFERROR(__xludf.DUMMYFUNCTION("""COMPUTED_VALUE"""),50.0)</f>
        <v>50</v>
      </c>
      <c r="F85" s="17">
        <f>IFERROR(__xludf.DUMMYFUNCTION("""COMPUTED_VALUE"""),206665.0)</f>
        <v>206665</v>
      </c>
      <c r="G85" s="17"/>
      <c r="H85" s="20"/>
      <c r="I85" s="17"/>
      <c r="J85" s="20">
        <f>IFERROR(__xludf.DUMMYFUNCTION("""COMPUTED_VALUE"""),50.0)</f>
        <v>50</v>
      </c>
      <c r="K85" s="17" t="str">
        <f t="shared" si="1"/>
        <v/>
      </c>
      <c r="L85" s="17" t="str">
        <f t="shared" si="4"/>
        <v/>
      </c>
      <c r="M85" s="17" t="str">
        <f t="shared" si="2"/>
        <v>#DIV/0!</v>
      </c>
      <c r="N85" s="17" t="str">
        <f t="shared" si="3"/>
        <v/>
      </c>
    </row>
    <row r="86">
      <c r="A86" s="17" t="str">
        <f>IFERROR(__xludf.DUMMYFUNCTION("""COMPUTED_VALUE"""),"Compra")</f>
        <v>Compra</v>
      </c>
      <c r="B86" s="19">
        <f>IFERROR(__xludf.DUMMYFUNCTION("""COMPUTED_VALUE"""),45953.0)</f>
        <v>45953</v>
      </c>
      <c r="C86" s="17" t="str">
        <f>IFERROR(__xludf.DUMMYFUNCTION("""COMPUTED_VALUE"""),"VEU")</f>
        <v>VEU</v>
      </c>
      <c r="D86" s="17">
        <f>IFERROR(__xludf.DUMMYFUNCTION("""COMPUTED_VALUE"""),0.13738)</f>
        <v>0.13738</v>
      </c>
      <c r="E86" s="17">
        <f>IFERROR(__xludf.DUMMYFUNCTION("""COMPUTED_VALUE"""),10.0)</f>
        <v>10</v>
      </c>
      <c r="F86" s="17"/>
      <c r="G86" s="17">
        <f>IFERROR(__xludf.DUMMYFUNCTION("""COMPUTED_VALUE"""),72.79)</f>
        <v>72.79</v>
      </c>
      <c r="H86" s="20">
        <f>IFERROR(__xludf.DUMMYFUNCTION("""COMPUTED_VALUE"""),0.15)</f>
        <v>0.15</v>
      </c>
      <c r="I86" s="17"/>
      <c r="J86" s="20">
        <f>IFERROR(__xludf.DUMMYFUNCTION("""COMPUTED_VALUE"""),10.15)</f>
        <v>10.15</v>
      </c>
      <c r="K86" s="17">
        <f t="shared" si="1"/>
        <v>0.13738</v>
      </c>
      <c r="L86" s="20">
        <f t="shared" si="4"/>
        <v>10.15</v>
      </c>
      <c r="M86" s="17">
        <f t="shared" si="2"/>
        <v>73.88266123</v>
      </c>
      <c r="N86" s="17" t="str">
        <f t="shared" si="3"/>
        <v/>
      </c>
    </row>
    <row r="87">
      <c r="A87" s="17" t="str">
        <f>IFERROR(__xludf.DUMMYFUNCTION("""COMPUTED_VALUE"""),"Compra")</f>
        <v>Compra</v>
      </c>
      <c r="B87" s="19">
        <f>IFERROR(__xludf.DUMMYFUNCTION("""COMPUTED_VALUE"""),45953.0)</f>
        <v>45953</v>
      </c>
      <c r="C87" s="17" t="str">
        <f>IFERROR(__xludf.DUMMYFUNCTION("""COMPUTED_VALUE"""),"ACWI")</f>
        <v>ACWI</v>
      </c>
      <c r="D87" s="17">
        <f>IFERROR(__xludf.DUMMYFUNCTION("""COMPUTED_VALUE"""),0.10703)</f>
        <v>0.10703</v>
      </c>
      <c r="E87" s="17">
        <f>IFERROR(__xludf.DUMMYFUNCTION("""COMPUTED_VALUE"""),15.0)</f>
        <v>15</v>
      </c>
      <c r="F87" s="17"/>
      <c r="G87" s="17">
        <f>IFERROR(__xludf.DUMMYFUNCTION("""COMPUTED_VALUE"""),140.14)</f>
        <v>140.14</v>
      </c>
      <c r="H87" s="20">
        <f>IFERROR(__xludf.DUMMYFUNCTION("""COMPUTED_VALUE"""),0.15)</f>
        <v>0.15</v>
      </c>
      <c r="I87" s="17"/>
      <c r="J87" s="20">
        <f>IFERROR(__xludf.DUMMYFUNCTION("""COMPUTED_VALUE"""),15.15)</f>
        <v>15.15</v>
      </c>
      <c r="K87" s="17">
        <f t="shared" si="1"/>
        <v>0.10703</v>
      </c>
      <c r="L87" s="20">
        <f t="shared" si="4"/>
        <v>15.15</v>
      </c>
      <c r="M87" s="17">
        <f t="shared" si="2"/>
        <v>141.5490984</v>
      </c>
      <c r="N87" s="17" t="str">
        <f t="shared" si="3"/>
        <v/>
      </c>
    </row>
    <row r="88">
      <c r="A88" s="17" t="str">
        <f>IFERROR(__xludf.DUMMYFUNCTION("""COMPUTED_VALUE"""),"Compra")</f>
        <v>Compra</v>
      </c>
      <c r="B88" s="19">
        <f>IFERROR(__xludf.DUMMYFUNCTION("""COMPUTED_VALUE"""),45953.0)</f>
        <v>45953</v>
      </c>
      <c r="C88" s="17" t="str">
        <f>IFERROR(__xludf.DUMMYFUNCTION("""COMPUTED_VALUE"""),"GLD")</f>
        <v>GLD</v>
      </c>
      <c r="D88" s="17">
        <f>IFERROR(__xludf.DUMMYFUNCTION("""COMPUTED_VALUE"""),0.0394)</f>
        <v>0.0394</v>
      </c>
      <c r="E88" s="17">
        <f>IFERROR(__xludf.DUMMYFUNCTION("""COMPUTED_VALUE"""),15.0)</f>
        <v>15</v>
      </c>
      <c r="F88" s="17"/>
      <c r="G88" s="17">
        <f>IFERROR(__xludf.DUMMYFUNCTION("""COMPUTED_VALUE"""),380.7)</f>
        <v>380.7</v>
      </c>
      <c r="H88" s="20">
        <f>IFERROR(__xludf.DUMMYFUNCTION("""COMPUTED_VALUE"""),0.15)</f>
        <v>0.15</v>
      </c>
      <c r="I88" s="17"/>
      <c r="J88" s="20">
        <f>IFERROR(__xludf.DUMMYFUNCTION("""COMPUTED_VALUE"""),15.15)</f>
        <v>15.15</v>
      </c>
      <c r="K88" s="17">
        <f t="shared" si="1"/>
        <v>0.0394</v>
      </c>
      <c r="L88" s="20">
        <f t="shared" si="4"/>
        <v>15.15</v>
      </c>
      <c r="M88" s="17">
        <f t="shared" si="2"/>
        <v>384.5177665</v>
      </c>
      <c r="N88" s="17" t="str">
        <f t="shared" si="3"/>
        <v/>
      </c>
    </row>
    <row r="89">
      <c r="A89" s="17" t="str">
        <f>IFERROR(__xludf.DUMMYFUNCTION("""COMPUTED_VALUE"""),"Compra")</f>
        <v>Compra</v>
      </c>
      <c r="B89" s="19">
        <f>IFERROR(__xludf.DUMMYFUNCTION("""COMPUTED_VALUE"""),45953.0)</f>
        <v>45953</v>
      </c>
      <c r="C89" s="17" t="str">
        <f>IFERROR(__xludf.DUMMYFUNCTION("""COMPUTED_VALUE"""),"NVDA")</f>
        <v>NVDA</v>
      </c>
      <c r="D89" s="17">
        <f>IFERROR(__xludf.DUMMYFUNCTION("""COMPUTED_VALUE"""),0.04327)</f>
        <v>0.04327</v>
      </c>
      <c r="E89" s="17">
        <f>IFERROR(__xludf.DUMMYFUNCTION("""COMPUTED_VALUE"""),7.91)</f>
        <v>7.91</v>
      </c>
      <c r="F89" s="17"/>
      <c r="G89" s="17">
        <f>IFERROR(__xludf.DUMMYFUNCTION("""COMPUTED_VALUE"""),182.77)</f>
        <v>182.77</v>
      </c>
      <c r="H89" s="20">
        <f>IFERROR(__xludf.DUMMYFUNCTION("""COMPUTED_VALUE"""),0.15)</f>
        <v>0.15</v>
      </c>
      <c r="I89" s="17">
        <f>IFERROR(__xludf.DUMMYFUNCTION("""COMPUTED_VALUE"""),0.0)</f>
        <v>0</v>
      </c>
      <c r="J89" s="20">
        <f>IFERROR(__xludf.DUMMYFUNCTION("""COMPUTED_VALUE"""),8.06)</f>
        <v>8.06</v>
      </c>
      <c r="K89" s="17">
        <f t="shared" si="1"/>
        <v>0.04327</v>
      </c>
      <c r="L89" s="20">
        <f t="shared" si="4"/>
        <v>8.06</v>
      </c>
      <c r="M89" s="17">
        <f t="shared" si="2"/>
        <v>186.272244</v>
      </c>
      <c r="N89" s="17" t="str">
        <f t="shared" si="3"/>
        <v/>
      </c>
    </row>
    <row r="90">
      <c r="A90" s="17" t="str">
        <f>IFERROR(__xludf.DUMMYFUNCTION("""COMPUTED_VALUE"""),"Compra")</f>
        <v>Compra</v>
      </c>
      <c r="B90" s="19">
        <f>IFERROR(__xludf.DUMMYFUNCTION("""COMPUTED_VALUE"""),45953.0)</f>
        <v>45953</v>
      </c>
      <c r="C90" s="17" t="str">
        <f>IFERROR(__xludf.DUMMYFUNCTION("""COMPUTED_VALUE"""),"ETHUSD")</f>
        <v>ETHUSD</v>
      </c>
      <c r="D90" s="17">
        <f>IFERROR(__xludf.DUMMYFUNCTION("""COMPUTED_VALUE"""),0.00128778)</f>
        <v>0.00128778</v>
      </c>
      <c r="E90" s="17">
        <f>IFERROR(__xludf.DUMMYFUNCTION("""COMPUTED_VALUE"""),5.0)</f>
        <v>5</v>
      </c>
      <c r="F90" s="17"/>
      <c r="G90" s="17">
        <f>IFERROR(__xludf.DUMMYFUNCTION("""COMPUTED_VALUE"""),3882.65)</f>
        <v>3882.65</v>
      </c>
      <c r="H90" s="20">
        <f>IFERROR(__xludf.DUMMYFUNCTION("""COMPUTED_VALUE"""),0.05)</f>
        <v>0.05</v>
      </c>
      <c r="I90" s="17">
        <f>IFERROR(__xludf.DUMMYFUNCTION("""COMPUTED_VALUE"""),0.0)</f>
        <v>0</v>
      </c>
      <c r="J90" s="20">
        <f>IFERROR(__xludf.DUMMYFUNCTION("""COMPUTED_VALUE"""),5.05)</f>
        <v>5.05</v>
      </c>
      <c r="K90" s="17">
        <f t="shared" si="1"/>
        <v>0.00128778</v>
      </c>
      <c r="L90" s="20">
        <f t="shared" si="4"/>
        <v>5.05</v>
      </c>
      <c r="M90" s="17">
        <f t="shared" si="2"/>
        <v>3921.477271</v>
      </c>
      <c r="N90" s="17" t="str">
        <f t="shared" si="3"/>
        <v/>
      </c>
    </row>
    <row r="91">
      <c r="A91" s="17" t="str">
        <f>IFERROR(__xludf.DUMMYFUNCTION("""COMPUTED_VALUE"""),"Depósito")</f>
        <v>Depósito</v>
      </c>
      <c r="B91" s="19">
        <f>IFERROR(__xludf.DUMMYFUNCTION("""COMPUTED_VALUE"""),45983.0)</f>
        <v>45983</v>
      </c>
      <c r="C91" s="17" t="str">
        <f>IFERROR(__xludf.DUMMYFUNCTION("""COMPUTED_VALUE"""),"USD")</f>
        <v>USD</v>
      </c>
      <c r="D91" s="17"/>
      <c r="E91" s="17">
        <f>IFERROR(__xludf.DUMMYFUNCTION("""COMPUTED_VALUE"""),100.0)</f>
        <v>100</v>
      </c>
      <c r="F91" s="17"/>
      <c r="G91" s="17">
        <f>IFERROR(__xludf.DUMMYFUNCTION("""COMPUTED_VALUE"""),0.0)</f>
        <v>0</v>
      </c>
      <c r="H91" s="20"/>
      <c r="I91" s="17">
        <f>IFERROR(__xludf.DUMMYFUNCTION("""COMPUTED_VALUE"""),0.0)</f>
        <v>0</v>
      </c>
      <c r="J91" s="20">
        <f>IFERROR(__xludf.DUMMYFUNCTION("""COMPUTED_VALUE"""),100.0)</f>
        <v>100</v>
      </c>
      <c r="K91" s="17" t="str">
        <f t="shared" si="1"/>
        <v/>
      </c>
      <c r="L91" s="17" t="str">
        <f t="shared" si="4"/>
        <v/>
      </c>
      <c r="M91" s="17" t="str">
        <f t="shared" si="2"/>
        <v>#DIV/0!</v>
      </c>
      <c r="N91" s="17" t="str">
        <f t="shared" si="3"/>
        <v/>
      </c>
    </row>
    <row r="92">
      <c r="A92" s="17" t="str">
        <f>IFERROR(__xludf.DUMMYFUNCTION("""COMPUTED_VALUE"""),"Compra")</f>
        <v>Compra</v>
      </c>
      <c r="B92" s="19">
        <f>IFERROR(__xludf.DUMMYFUNCTION("""COMPUTED_VALUE"""),45983.0)</f>
        <v>45983</v>
      </c>
      <c r="C92" s="17" t="str">
        <f>IFERROR(__xludf.DUMMYFUNCTION("""COMPUTED_VALUE"""),"ETHUSD")</f>
        <v>ETHUSD</v>
      </c>
      <c r="D92" s="17">
        <f>IFERROR(__xludf.DUMMYFUNCTION("""COMPUTED_VALUE"""),0.00545161)</f>
        <v>0.00545161</v>
      </c>
      <c r="E92" s="17">
        <f>IFERROR(__xludf.DUMMYFUNCTION("""COMPUTED_VALUE"""),15.0)</f>
        <v>15</v>
      </c>
      <c r="F92" s="17"/>
      <c r="G92" s="17">
        <f>IFERROR(__xludf.DUMMYFUNCTION("""COMPUTED_VALUE"""),2751.48)</f>
        <v>2751.48</v>
      </c>
      <c r="H92" s="20">
        <f>IFERROR(__xludf.DUMMYFUNCTION("""COMPUTED_VALUE"""),0.15)</f>
        <v>0.15</v>
      </c>
      <c r="I92" s="17">
        <f>IFERROR(__xludf.DUMMYFUNCTION("""COMPUTED_VALUE"""),0.0)</f>
        <v>0</v>
      </c>
      <c r="J92" s="20">
        <f>IFERROR(__xludf.DUMMYFUNCTION("""COMPUTED_VALUE"""),15.15)</f>
        <v>15.15</v>
      </c>
      <c r="K92" s="17">
        <f t="shared" si="1"/>
        <v>0.00545161</v>
      </c>
      <c r="L92" s="20">
        <f t="shared" si="4"/>
        <v>15.15</v>
      </c>
      <c r="M92" s="17">
        <f t="shared" si="2"/>
        <v>2778.995563</v>
      </c>
      <c r="N92" s="17" t="str">
        <f t="shared" si="3"/>
        <v/>
      </c>
    </row>
    <row r="93">
      <c r="A93" s="17" t="str">
        <f>IFERROR(__xludf.DUMMYFUNCTION("""COMPUTED_VALUE"""),"Compra")</f>
        <v>Compra</v>
      </c>
      <c r="B93" s="19">
        <f>IFERROR(__xludf.DUMMYFUNCTION("""COMPUTED_VALUE"""),45983.0)</f>
        <v>45983</v>
      </c>
      <c r="C93" s="17" t="str">
        <f>IFERROR(__xludf.DUMMYFUNCTION("""COMPUTED_VALUE"""),"BTCUSD")</f>
        <v>BTCUSD</v>
      </c>
      <c r="D93" s="17">
        <f>IFERROR(__xludf.DUMMYFUNCTION("""COMPUTED_VALUE"""),2.9549E-4)</f>
        <v>0.00029549</v>
      </c>
      <c r="E93" s="17">
        <f>IFERROR(__xludf.DUMMYFUNCTION("""COMPUTED_VALUE"""),25.0)</f>
        <v>25</v>
      </c>
      <c r="F93" s="17"/>
      <c r="G93" s="17">
        <f>IFERROR(__xludf.DUMMYFUNCTION("""COMPUTED_VALUE"""),84605.23)</f>
        <v>84605.23</v>
      </c>
      <c r="H93" s="20">
        <f>IFERROR(__xludf.DUMMYFUNCTION("""COMPUTED_VALUE"""),0.25)</f>
        <v>0.25</v>
      </c>
      <c r="I93" s="17">
        <f>IFERROR(__xludf.DUMMYFUNCTION("""COMPUTED_VALUE"""),0.0)</f>
        <v>0</v>
      </c>
      <c r="J93" s="20">
        <f>IFERROR(__xludf.DUMMYFUNCTION("""COMPUTED_VALUE"""),25.25)</f>
        <v>25.25</v>
      </c>
      <c r="K93" s="17">
        <f t="shared" si="1"/>
        <v>0.00029549</v>
      </c>
      <c r="L93" s="20">
        <f t="shared" si="4"/>
        <v>25.25</v>
      </c>
      <c r="M93" s="17">
        <f t="shared" si="2"/>
        <v>85451.28431</v>
      </c>
      <c r="N93" s="17" t="str">
        <f t="shared" si="3"/>
        <v/>
      </c>
    </row>
    <row r="94">
      <c r="A94" s="17" t="str">
        <f>IFERROR(__xludf.DUMMYFUNCTION("""COMPUTED_VALUE"""),"Compra")</f>
        <v>Compra</v>
      </c>
      <c r="B94" s="19">
        <f>IFERROR(__xludf.DUMMYFUNCTION("""COMPUTED_VALUE"""),45987.0)</f>
        <v>45987</v>
      </c>
      <c r="C94" s="17" t="str">
        <f>IFERROR(__xludf.DUMMYFUNCTION("""COMPUTED_VALUE"""),"EEM")</f>
        <v>EEM</v>
      </c>
      <c r="D94" s="17">
        <f>IFERROR(__xludf.DUMMYFUNCTION("""COMPUTED_VALUE"""),0.51803)</f>
        <v>0.51803</v>
      </c>
      <c r="E94" s="17">
        <f>IFERROR(__xludf.DUMMYFUNCTION("""COMPUTED_VALUE"""),28.0)</f>
        <v>28</v>
      </c>
      <c r="F94" s="17"/>
      <c r="G94" s="17">
        <f>IFERROR(__xludf.DUMMYFUNCTION("""COMPUTED_VALUE"""),54.04)</f>
        <v>54.04</v>
      </c>
      <c r="H94" s="20">
        <f>IFERROR(__xludf.DUMMYFUNCTION("""COMPUTED_VALUE"""),0.15)</f>
        <v>0.15</v>
      </c>
      <c r="I94" s="17"/>
      <c r="J94" s="20">
        <f>IFERROR(__xludf.DUMMYFUNCTION("""COMPUTED_VALUE"""),28.15)</f>
        <v>28.15</v>
      </c>
      <c r="K94" s="17">
        <f t="shared" si="1"/>
        <v>0.51803</v>
      </c>
      <c r="L94" s="20">
        <f t="shared" si="4"/>
        <v>28.15</v>
      </c>
      <c r="M94" s="17">
        <f t="shared" si="2"/>
        <v>54.34048221</v>
      </c>
      <c r="N94" s="17" t="str">
        <f t="shared" si="3"/>
        <v/>
      </c>
    </row>
    <row r="95">
      <c r="A95" s="17" t="str">
        <f>IFERROR(__xludf.DUMMYFUNCTION("""COMPUTED_VALUE"""),"Compra")</f>
        <v>Compra</v>
      </c>
      <c r="B95" s="19">
        <f>IFERROR(__xludf.DUMMYFUNCTION("""COMPUTED_VALUE"""),45987.0)</f>
        <v>45987</v>
      </c>
      <c r="C95" s="17" t="str">
        <f>IFERROR(__xludf.DUMMYFUNCTION("""COMPUTED_VALUE"""),"VEU")</f>
        <v>VEU</v>
      </c>
      <c r="D95" s="17">
        <f>IFERROR(__xludf.DUMMYFUNCTION("""COMPUTED_VALUE"""),0.27605)</f>
        <v>0.27605</v>
      </c>
      <c r="E95" s="17">
        <f>IFERROR(__xludf.DUMMYFUNCTION("""COMPUTED_VALUE"""),20.0)</f>
        <v>20</v>
      </c>
      <c r="F95" s="17"/>
      <c r="G95" s="17">
        <f>IFERROR(__xludf.DUMMYFUNCTION("""COMPUTED_VALUE"""),72.45)</f>
        <v>72.45</v>
      </c>
      <c r="H95" s="20">
        <f>IFERROR(__xludf.DUMMYFUNCTION("""COMPUTED_VALUE"""),0.15)</f>
        <v>0.15</v>
      </c>
      <c r="I95" s="17"/>
      <c r="J95" s="20">
        <f>IFERROR(__xludf.DUMMYFUNCTION("""COMPUTED_VALUE"""),20.15)</f>
        <v>20.15</v>
      </c>
      <c r="K95" s="17">
        <f t="shared" si="1"/>
        <v>0.27605</v>
      </c>
      <c r="L95" s="20">
        <f t="shared" si="4"/>
        <v>20.15</v>
      </c>
      <c r="M95" s="17">
        <f t="shared" si="2"/>
        <v>72.99402282</v>
      </c>
      <c r="N95" s="17" t="str">
        <f t="shared" si="3"/>
        <v/>
      </c>
    </row>
    <row r="96">
      <c r="A96" s="17" t="str">
        <f>IFERROR(__xludf.DUMMYFUNCTION("""COMPUTED_VALUE"""),"Compra")</f>
        <v>Compra</v>
      </c>
      <c r="B96" s="19">
        <f>IFERROR(__xludf.DUMMYFUNCTION("""COMPUTED_VALUE"""),45987.0)</f>
        <v>45987</v>
      </c>
      <c r="C96" s="17" t="str">
        <f>IFERROR(__xludf.DUMMYFUNCTION("""COMPUTED_VALUE"""),"ACWI")</f>
        <v>ACWI</v>
      </c>
      <c r="D96" s="17">
        <f>IFERROR(__xludf.DUMMYFUNCTION("""COMPUTED_VALUE"""),0.07939)</f>
        <v>0.07939</v>
      </c>
      <c r="E96" s="17">
        <f>IFERROR(__xludf.DUMMYFUNCTION("""COMPUTED_VALUE"""),11.15)</f>
        <v>11.15</v>
      </c>
      <c r="F96" s="17"/>
      <c r="G96" s="17">
        <f>IFERROR(__xludf.DUMMYFUNCTION("""COMPUTED_VALUE"""),140.43)</f>
        <v>140.43</v>
      </c>
      <c r="H96" s="20">
        <f>IFERROR(__xludf.DUMMYFUNCTION("""COMPUTED_VALUE"""),0.15)</f>
        <v>0.15</v>
      </c>
      <c r="I96" s="17"/>
      <c r="J96" s="20">
        <f>IFERROR(__xludf.DUMMYFUNCTION("""COMPUTED_VALUE"""),11.3)</f>
        <v>11.3</v>
      </c>
      <c r="K96" s="17">
        <f t="shared" si="1"/>
        <v>0.07939</v>
      </c>
      <c r="L96" s="20">
        <f t="shared" si="4"/>
        <v>11.3</v>
      </c>
      <c r="M96" s="17">
        <f t="shared" si="2"/>
        <v>142.3353067</v>
      </c>
      <c r="N96" s="17" t="str">
        <f t="shared" si="3"/>
        <v/>
      </c>
    </row>
    <row r="97">
      <c r="A97" s="17" t="str">
        <f>IFERROR(__xludf.DUMMYFUNCTION("""COMPUTED_VALUE"""),"Depósito")</f>
        <v>Depósito</v>
      </c>
      <c r="B97" s="19">
        <f>IFERROR(__xludf.DUMMYFUNCTION("""COMPUTED_VALUE"""),46010.0)</f>
        <v>46010</v>
      </c>
      <c r="C97" s="17"/>
      <c r="D97" s="17"/>
      <c r="E97" s="17">
        <f>IFERROR(__xludf.DUMMYFUNCTION("""COMPUTED_VALUE"""),100.0)</f>
        <v>100</v>
      </c>
      <c r="F97" s="17"/>
      <c r="G97" s="17"/>
      <c r="H97" s="20"/>
      <c r="I97" s="17"/>
      <c r="J97" s="20">
        <f>IFERROR(__xludf.DUMMYFUNCTION("""COMPUTED_VALUE"""),100.0)</f>
        <v>100</v>
      </c>
      <c r="K97" s="17" t="str">
        <f t="shared" si="1"/>
        <v/>
      </c>
      <c r="L97" s="17" t="str">
        <f t="shared" si="4"/>
        <v/>
      </c>
      <c r="M97" s="17" t="str">
        <f t="shared" si="2"/>
        <v>#DIV/0!</v>
      </c>
      <c r="N97" s="17" t="str">
        <f t="shared" si="3"/>
        <v/>
      </c>
    </row>
    <row r="98">
      <c r="A98" s="17" t="str">
        <f>IFERROR(__xludf.DUMMYFUNCTION("""COMPUTED_VALUE"""),"Dividendo")</f>
        <v>Dividendo</v>
      </c>
      <c r="B98" s="19">
        <f>IFERROR(__xludf.DUMMYFUNCTION("""COMPUTED_VALUE"""),46013.0)</f>
        <v>46013</v>
      </c>
      <c r="C98" s="17" t="str">
        <f>IFERROR(__xludf.DUMMYFUNCTION("""COMPUTED_VALUE"""),"ACWI")</f>
        <v>ACWI</v>
      </c>
      <c r="D98" s="17"/>
      <c r="E98" s="17">
        <f>IFERROR(__xludf.DUMMYFUNCTION("""COMPUTED_VALUE"""),1.51)</f>
        <v>1.51</v>
      </c>
      <c r="F98" s="17"/>
      <c r="G98" s="17"/>
      <c r="H98" s="20">
        <f>IFERROR(__xludf.DUMMYFUNCTION("""COMPUTED_VALUE"""),-0.45)</f>
        <v>-0.45</v>
      </c>
      <c r="I98" s="17"/>
      <c r="J98" s="20">
        <f>IFERROR(__xludf.DUMMYFUNCTION("""COMPUTED_VALUE"""),1.06)</f>
        <v>1.06</v>
      </c>
      <c r="K98" s="17">
        <f t="shared" si="1"/>
        <v>0</v>
      </c>
      <c r="L98" s="17">
        <f t="shared" si="4"/>
        <v>0</v>
      </c>
      <c r="M98" s="17">
        <f t="shared" si="2"/>
        <v>0</v>
      </c>
      <c r="N98" s="20">
        <f t="shared" si="3"/>
        <v>1.06</v>
      </c>
    </row>
    <row r="99">
      <c r="A99" s="17" t="str">
        <f>IFERROR(__xludf.DUMMYFUNCTION("""COMPUTED_VALUE"""),"Dividendo")</f>
        <v>Dividendo</v>
      </c>
      <c r="B99" s="19">
        <f>IFERROR(__xludf.DUMMYFUNCTION("""COMPUTED_VALUE"""),46013.0)</f>
        <v>46013</v>
      </c>
      <c r="C99" s="17" t="str">
        <f>IFERROR(__xludf.DUMMYFUNCTION("""COMPUTED_VALUE"""),"EEM")</f>
        <v>EEM</v>
      </c>
      <c r="D99" s="17"/>
      <c r="E99" s="17">
        <f>IFERROR(__xludf.DUMMYFUNCTION("""COMPUTED_VALUE"""),1.56)</f>
        <v>1.56</v>
      </c>
      <c r="F99" s="17"/>
      <c r="G99" s="17"/>
      <c r="H99" s="20">
        <f>IFERROR(__xludf.DUMMYFUNCTION("""COMPUTED_VALUE"""),-0.47)</f>
        <v>-0.47</v>
      </c>
      <c r="I99" s="17"/>
      <c r="J99" s="20">
        <f>IFERROR(__xludf.DUMMYFUNCTION("""COMPUTED_VALUE"""),1.09)</f>
        <v>1.09</v>
      </c>
      <c r="K99" s="17">
        <f t="shared" si="1"/>
        <v>0</v>
      </c>
      <c r="L99" s="17">
        <f t="shared" si="4"/>
        <v>0</v>
      </c>
      <c r="M99" s="17">
        <f t="shared" si="2"/>
        <v>0</v>
      </c>
      <c r="N99" s="20">
        <f t="shared" si="3"/>
        <v>1.09</v>
      </c>
    </row>
    <row r="100">
      <c r="A100" s="17" t="str">
        <f>IFERROR(__xludf.DUMMYFUNCTION("""COMPUTED_VALUE"""),"Dividendo")</f>
        <v>Dividendo</v>
      </c>
      <c r="B100" s="19">
        <f>IFERROR(__xludf.DUMMYFUNCTION("""COMPUTED_VALUE"""),46015.0)</f>
        <v>46015</v>
      </c>
      <c r="C100" s="17" t="str">
        <f>IFERROR(__xludf.DUMMYFUNCTION("""COMPUTED_VALUE"""),"VEU")</f>
        <v>VEU</v>
      </c>
      <c r="D100" s="17"/>
      <c r="E100" s="17">
        <f>IFERROR(__xludf.DUMMYFUNCTION("""COMPUTED_VALUE"""),2.27)</f>
        <v>2.27</v>
      </c>
      <c r="F100" s="17"/>
      <c r="G100" s="17"/>
      <c r="H100" s="20">
        <f>IFERROR(__xludf.DUMMYFUNCTION("""COMPUTED_VALUE"""),-0.68)</f>
        <v>-0.68</v>
      </c>
      <c r="I100" s="17"/>
      <c r="J100" s="20">
        <f>IFERROR(__xludf.DUMMYFUNCTION("""COMPUTED_VALUE"""),1.59)</f>
        <v>1.59</v>
      </c>
      <c r="K100" s="17">
        <f t="shared" si="1"/>
        <v>0</v>
      </c>
      <c r="L100" s="17">
        <f t="shared" si="4"/>
        <v>0</v>
      </c>
      <c r="M100" s="17">
        <f t="shared" si="2"/>
        <v>0</v>
      </c>
      <c r="N100" s="20">
        <f t="shared" si="3"/>
        <v>1.59</v>
      </c>
    </row>
    <row r="101">
      <c r="A101" s="17" t="str">
        <f>IFERROR(__xludf.DUMMYFUNCTION("""COMPUTED_VALUE"""),"Compra")</f>
        <v>Compra</v>
      </c>
      <c r="B101" s="19">
        <f>IFERROR(__xludf.DUMMYFUNCTION("""COMPUTED_VALUE"""),46024.0)</f>
        <v>46024</v>
      </c>
      <c r="C101" s="17" t="str">
        <f>IFERROR(__xludf.DUMMYFUNCTION("""COMPUTED_VALUE"""),"ACWI")</f>
        <v>ACWI</v>
      </c>
      <c r="D101" s="17">
        <f>IFERROR(__xludf.DUMMYFUNCTION("""COMPUTED_VALUE"""),0.17603)</f>
        <v>0.17603</v>
      </c>
      <c r="E101" s="17">
        <f>IFERROR(__xludf.DUMMYFUNCTION("""COMPUTED_VALUE"""),25.0)</f>
        <v>25</v>
      </c>
      <c r="F101" s="17"/>
      <c r="G101" s="17">
        <f>IFERROR(__xludf.DUMMYFUNCTION("""COMPUTED_VALUE"""),142.01)</f>
        <v>142.01</v>
      </c>
      <c r="H101" s="20">
        <f>IFERROR(__xludf.DUMMYFUNCTION("""COMPUTED_VALUE"""),0.15)</f>
        <v>0.15</v>
      </c>
      <c r="I101" s="17"/>
      <c r="J101" s="20">
        <f>IFERROR(__xludf.DUMMYFUNCTION("""COMPUTED_VALUE"""),25.15)</f>
        <v>25.15</v>
      </c>
      <c r="K101" s="17">
        <f t="shared" si="1"/>
        <v>0.17603</v>
      </c>
      <c r="L101" s="20">
        <f t="shared" si="4"/>
        <v>25.15</v>
      </c>
      <c r="M101" s="17">
        <f t="shared" si="2"/>
        <v>142.8733739</v>
      </c>
      <c r="N101" s="17" t="str">
        <f t="shared" si="3"/>
        <v/>
      </c>
    </row>
    <row r="102">
      <c r="A102" s="17" t="str">
        <f>IFERROR(__xludf.DUMMYFUNCTION("""COMPUTED_VALUE"""),"Compra")</f>
        <v>Compra</v>
      </c>
      <c r="B102" s="19">
        <f>IFERROR(__xludf.DUMMYFUNCTION("""COMPUTED_VALUE"""),46024.0)</f>
        <v>46024</v>
      </c>
      <c r="C102" s="17" t="str">
        <f>IFERROR(__xludf.DUMMYFUNCTION("""COMPUTED_VALUE"""),"VEU")</f>
        <v>VEU</v>
      </c>
      <c r="D102" s="17">
        <f>IFERROR(__xludf.DUMMYFUNCTION("""COMPUTED_VALUE"""),0.26872)</f>
        <v>0.26872</v>
      </c>
      <c r="E102" s="17">
        <f>IFERROR(__xludf.DUMMYFUNCTION("""COMPUTED_VALUE"""),20.0)</f>
        <v>20</v>
      </c>
      <c r="F102" s="17"/>
      <c r="G102" s="17">
        <f>IFERROR(__xludf.DUMMYFUNCTION("""COMPUTED_VALUE"""),74.42)</f>
        <v>74.42</v>
      </c>
      <c r="H102" s="20">
        <f>IFERROR(__xludf.DUMMYFUNCTION("""COMPUTED_VALUE"""),0.15)</f>
        <v>0.15</v>
      </c>
      <c r="I102" s="17"/>
      <c r="J102" s="20">
        <f>IFERROR(__xludf.DUMMYFUNCTION("""COMPUTED_VALUE"""),20.15)</f>
        <v>20.15</v>
      </c>
      <c r="K102" s="17">
        <f t="shared" si="1"/>
        <v>0.26872</v>
      </c>
      <c r="L102" s="20">
        <f t="shared" si="4"/>
        <v>20.15</v>
      </c>
      <c r="M102" s="17">
        <f t="shared" si="2"/>
        <v>74.98511462</v>
      </c>
      <c r="N102" s="17" t="str">
        <f t="shared" si="3"/>
        <v/>
      </c>
    </row>
    <row r="103">
      <c r="A103" s="17" t="str">
        <f>IFERROR(__xludf.DUMMYFUNCTION("""COMPUTED_VALUE"""),"Compra")</f>
        <v>Compra</v>
      </c>
      <c r="B103" s="19">
        <f>IFERROR(__xludf.DUMMYFUNCTION("""COMPUTED_VALUE"""),46024.0)</f>
        <v>46024</v>
      </c>
      <c r="C103" s="17" t="str">
        <f>IFERROR(__xludf.DUMMYFUNCTION("""COMPUTED_VALUE"""),"EEM")</f>
        <v>EEM</v>
      </c>
      <c r="D103" s="17">
        <f>IFERROR(__xludf.DUMMYFUNCTION("""COMPUTED_VALUE"""),0.17863)</f>
        <v>0.17863</v>
      </c>
      <c r="E103" s="17">
        <f>IFERROR(__xludf.DUMMYFUNCTION("""COMPUTED_VALUE"""),10.0)</f>
        <v>10</v>
      </c>
      <c r="F103" s="17"/>
      <c r="G103" s="17">
        <f>IFERROR(__xludf.DUMMYFUNCTION("""COMPUTED_VALUE"""),55.97)</f>
        <v>55.97</v>
      </c>
      <c r="H103" s="20">
        <f>IFERROR(__xludf.DUMMYFUNCTION("""COMPUTED_VALUE"""),0.15)</f>
        <v>0.15</v>
      </c>
      <c r="I103" s="17"/>
      <c r="J103" s="20">
        <f>IFERROR(__xludf.DUMMYFUNCTION("""COMPUTED_VALUE"""),10.15)</f>
        <v>10.15</v>
      </c>
      <c r="K103" s="17">
        <f t="shared" si="1"/>
        <v>0.17863</v>
      </c>
      <c r="L103" s="20">
        <f t="shared" si="4"/>
        <v>10.15</v>
      </c>
      <c r="M103" s="17">
        <f t="shared" si="2"/>
        <v>56.82136259</v>
      </c>
      <c r="N103" s="17" t="str">
        <f t="shared" si="3"/>
        <v/>
      </c>
    </row>
    <row r="104">
      <c r="A104" s="17" t="str">
        <f>IFERROR(__xludf.DUMMYFUNCTION("""COMPUTED_VALUE"""),"Compra")</f>
        <v>Compra</v>
      </c>
      <c r="B104" s="19">
        <f>IFERROR(__xludf.DUMMYFUNCTION("""COMPUTED_VALUE"""),46024.0)</f>
        <v>46024</v>
      </c>
      <c r="C104" s="17" t="str">
        <f>IFERROR(__xludf.DUMMYFUNCTION("""COMPUTED_VALUE"""),"NVDA")</f>
        <v>NVDA</v>
      </c>
      <c r="D104" s="17">
        <f>IFERROR(__xludf.DUMMYFUNCTION("""COMPUTED_VALUE"""),0.10542)</f>
        <v>0.10542</v>
      </c>
      <c r="E104" s="17">
        <f>IFERROR(__xludf.DUMMYFUNCTION("""COMPUTED_VALUE"""),20.0)</f>
        <v>20</v>
      </c>
      <c r="F104" s="17"/>
      <c r="G104" s="17">
        <f>IFERROR(__xludf.DUMMYFUNCTION("""COMPUTED_VALUE"""),189.71)</f>
        <v>189.71</v>
      </c>
      <c r="H104" s="20">
        <f>IFERROR(__xludf.DUMMYFUNCTION("""COMPUTED_VALUE"""),0.15)</f>
        <v>0.15</v>
      </c>
      <c r="I104" s="17"/>
      <c r="J104" s="20">
        <f>IFERROR(__xludf.DUMMYFUNCTION("""COMPUTED_VALUE"""),20.15)</f>
        <v>20.15</v>
      </c>
      <c r="K104" s="17">
        <f t="shared" si="1"/>
        <v>0.10542</v>
      </c>
      <c r="L104" s="20">
        <f t="shared" si="4"/>
        <v>20.15</v>
      </c>
      <c r="M104" s="17">
        <f t="shared" si="2"/>
        <v>191.1402011</v>
      </c>
      <c r="N104" s="17" t="str">
        <f t="shared" si="3"/>
        <v/>
      </c>
    </row>
    <row r="105">
      <c r="A105" s="17" t="str">
        <f>IFERROR(__xludf.DUMMYFUNCTION("""COMPUTED_VALUE"""),"Compra")</f>
        <v>Compra</v>
      </c>
      <c r="B105" s="19">
        <f>IFERROR(__xludf.DUMMYFUNCTION("""COMPUTED_VALUE"""),46024.0)</f>
        <v>46024</v>
      </c>
      <c r="C105" s="17" t="str">
        <f>IFERROR(__xludf.DUMMYFUNCTION("""COMPUTED_VALUE"""),"GLD")</f>
        <v>GLD</v>
      </c>
      <c r="D105" s="17">
        <f>IFERROR(__xludf.DUMMYFUNCTION("""COMPUTED_VALUE"""),0.0251)</f>
        <v>0.0251</v>
      </c>
      <c r="E105" s="17">
        <f>IFERROR(__xludf.DUMMYFUNCTION("""COMPUTED_VALUE"""),10.0)</f>
        <v>10</v>
      </c>
      <c r="F105" s="17"/>
      <c r="G105" s="17">
        <f>IFERROR(__xludf.DUMMYFUNCTION("""COMPUTED_VALUE"""),398.26)</f>
        <v>398.26</v>
      </c>
      <c r="H105" s="20">
        <f>IFERROR(__xludf.DUMMYFUNCTION("""COMPUTED_VALUE"""),0.15)</f>
        <v>0.15</v>
      </c>
      <c r="I105" s="17"/>
      <c r="J105" s="20">
        <f>IFERROR(__xludf.DUMMYFUNCTION("""COMPUTED_VALUE"""),10.15)</f>
        <v>10.15</v>
      </c>
      <c r="K105" s="17">
        <f t="shared" si="1"/>
        <v>0.0251</v>
      </c>
      <c r="L105" s="20">
        <f t="shared" si="4"/>
        <v>10.15</v>
      </c>
      <c r="M105" s="17">
        <f t="shared" si="2"/>
        <v>404.3824701</v>
      </c>
      <c r="N105" s="17" t="str">
        <f t="shared" si="3"/>
        <v/>
      </c>
    </row>
    <row r="106">
      <c r="A106" s="17" t="str">
        <f>IFERROR(__xludf.DUMMYFUNCTION("""COMPUTED_VALUE"""),"Depósito")</f>
        <v>Depósito</v>
      </c>
      <c r="B106" s="19">
        <f>IFERROR(__xludf.DUMMYFUNCTION("""COMPUTED_VALUE"""),46043.0)</f>
        <v>46043</v>
      </c>
      <c r="C106" s="17"/>
      <c r="D106" s="17"/>
      <c r="E106" s="17">
        <f>IFERROR(__xludf.DUMMYFUNCTION("""COMPUTED_VALUE"""),100.0)</f>
        <v>100</v>
      </c>
      <c r="F106" s="17"/>
      <c r="G106" s="17"/>
      <c r="H106" s="20"/>
      <c r="I106" s="17"/>
      <c r="J106" s="20">
        <f>IFERROR(__xludf.DUMMYFUNCTION("""COMPUTED_VALUE"""),100.0)</f>
        <v>100</v>
      </c>
      <c r="K106" s="17" t="str">
        <f t="shared" si="1"/>
        <v/>
      </c>
      <c r="L106" s="17" t="str">
        <f t="shared" si="4"/>
        <v/>
      </c>
      <c r="M106" s="17" t="str">
        <f t="shared" si="2"/>
        <v>#DIV/0!</v>
      </c>
      <c r="N106" s="17" t="str">
        <f t="shared" si="3"/>
        <v/>
      </c>
    </row>
    <row r="107">
      <c r="A107" s="17" t="str">
        <f>IFERROR(__xludf.DUMMYFUNCTION("""COMPUTED_VALUE"""),"Compra")</f>
        <v>Compra</v>
      </c>
      <c r="B107" s="19">
        <f>IFERROR(__xludf.DUMMYFUNCTION("""COMPUTED_VALUE"""),46043.0)</f>
        <v>46043</v>
      </c>
      <c r="C107" s="17" t="str">
        <f>IFERROR(__xludf.DUMMYFUNCTION("""COMPUTED_VALUE"""),"ACWI")</f>
        <v>ACWI</v>
      </c>
      <c r="D107" s="17">
        <f>IFERROR(__xludf.DUMMYFUNCTION("""COMPUTED_VALUE"""),0.174)</f>
        <v>0.174</v>
      </c>
      <c r="E107" s="17">
        <f>IFERROR(__xludf.DUMMYFUNCTION("""COMPUTED_VALUE"""),25.0)</f>
        <v>25</v>
      </c>
      <c r="F107" s="17"/>
      <c r="G107" s="17">
        <f>IFERROR(__xludf.DUMMYFUNCTION("""COMPUTED_VALUE"""),143.41)</f>
        <v>143.41</v>
      </c>
      <c r="H107" s="20">
        <f>IFERROR(__xludf.DUMMYFUNCTION("""COMPUTED_VALUE"""),0.15)</f>
        <v>0.15</v>
      </c>
      <c r="I107" s="17"/>
      <c r="J107" s="20">
        <f>IFERROR(__xludf.DUMMYFUNCTION("""COMPUTED_VALUE"""),25.15)</f>
        <v>25.15</v>
      </c>
      <c r="K107" s="17">
        <f t="shared" si="1"/>
        <v>0.174</v>
      </c>
      <c r="L107" s="20">
        <f t="shared" si="4"/>
        <v>25.15</v>
      </c>
      <c r="M107" s="17">
        <f t="shared" si="2"/>
        <v>144.5402299</v>
      </c>
      <c r="N107" s="17" t="str">
        <f t="shared" si="3"/>
        <v/>
      </c>
    </row>
    <row r="108">
      <c r="A108" s="17" t="str">
        <f>IFERROR(__xludf.DUMMYFUNCTION("""COMPUTED_VALUE"""),"Compra")</f>
        <v>Compra</v>
      </c>
      <c r="B108" s="19">
        <f>IFERROR(__xludf.DUMMYFUNCTION("""COMPUTED_VALUE"""),46043.0)</f>
        <v>46043</v>
      </c>
      <c r="C108" s="17" t="str">
        <f>IFERROR(__xludf.DUMMYFUNCTION("""COMPUTED_VALUE"""),"EEM")</f>
        <v>EEM</v>
      </c>
      <c r="D108" s="17">
        <f>IFERROR(__xludf.DUMMYFUNCTION("""COMPUTED_VALUE"""),0.25782)</f>
        <v>0.25782</v>
      </c>
      <c r="E108" s="17">
        <f>IFERROR(__xludf.DUMMYFUNCTION("""COMPUTED_VALUE"""),15.0)</f>
        <v>15</v>
      </c>
      <c r="F108" s="17"/>
      <c r="G108" s="17">
        <f>IFERROR(__xludf.DUMMYFUNCTION("""COMPUTED_VALUE"""),58.17)</f>
        <v>58.17</v>
      </c>
      <c r="H108" s="20">
        <f>IFERROR(__xludf.DUMMYFUNCTION("""COMPUTED_VALUE"""),0.15)</f>
        <v>0.15</v>
      </c>
      <c r="I108" s="17"/>
      <c r="J108" s="20">
        <f>IFERROR(__xludf.DUMMYFUNCTION("""COMPUTED_VALUE"""),15.15)</f>
        <v>15.15</v>
      </c>
      <c r="K108" s="17">
        <f t="shared" si="1"/>
        <v>0.25782</v>
      </c>
      <c r="L108" s="20">
        <f t="shared" si="4"/>
        <v>15.15</v>
      </c>
      <c r="M108" s="17">
        <f t="shared" si="2"/>
        <v>58.76192693</v>
      </c>
      <c r="N108" s="17" t="str">
        <f t="shared" si="3"/>
        <v/>
      </c>
    </row>
    <row r="109">
      <c r="A109" s="17" t="str">
        <f>IFERROR(__xludf.DUMMYFUNCTION("""COMPUTED_VALUE"""),"Compra")</f>
        <v>Compra</v>
      </c>
      <c r="B109" s="19">
        <f>IFERROR(__xludf.DUMMYFUNCTION("""COMPUTED_VALUE"""),46043.0)</f>
        <v>46043</v>
      </c>
      <c r="C109" s="17" t="str">
        <f>IFERROR(__xludf.DUMMYFUNCTION("""COMPUTED_VALUE"""),"VEU")</f>
        <v>VEU</v>
      </c>
      <c r="D109" s="17">
        <f>IFERROR(__xludf.DUMMYFUNCTION("""COMPUTED_VALUE"""),0.19639)</f>
        <v>0.19639</v>
      </c>
      <c r="E109" s="17">
        <f>IFERROR(__xludf.DUMMYFUNCTION("""COMPUTED_VALUE"""),15.0)</f>
        <v>15</v>
      </c>
      <c r="F109" s="17"/>
      <c r="G109" s="17">
        <f>IFERROR(__xludf.DUMMYFUNCTION("""COMPUTED_VALUE"""),76.37)</f>
        <v>76.37</v>
      </c>
      <c r="H109" s="20">
        <f>IFERROR(__xludf.DUMMYFUNCTION("""COMPUTED_VALUE"""),0.15)</f>
        <v>0.15</v>
      </c>
      <c r="I109" s="17"/>
      <c r="J109" s="20">
        <f>IFERROR(__xludf.DUMMYFUNCTION("""COMPUTED_VALUE"""),15.15)</f>
        <v>15.15</v>
      </c>
      <c r="K109" s="17">
        <f t="shared" si="1"/>
        <v>0.19639</v>
      </c>
      <c r="L109" s="20">
        <f t="shared" si="4"/>
        <v>15.15</v>
      </c>
      <c r="M109" s="17">
        <f t="shared" si="2"/>
        <v>77.14242069</v>
      </c>
      <c r="N109" s="17" t="str">
        <f t="shared" si="3"/>
        <v/>
      </c>
    </row>
    <row r="110">
      <c r="A110" s="17" t="str">
        <f>IFERROR(__xludf.DUMMYFUNCTION("""COMPUTED_VALUE"""),"Compra")</f>
        <v>Compra</v>
      </c>
      <c r="B110" s="19">
        <f>IFERROR(__xludf.DUMMYFUNCTION("""COMPUTED_VALUE"""),46043.0)</f>
        <v>46043</v>
      </c>
      <c r="C110" s="17" t="str">
        <f>IFERROR(__xludf.DUMMYFUNCTION("""COMPUTED_VALUE"""),"NU")</f>
        <v>NU</v>
      </c>
      <c r="D110" s="17">
        <f>IFERROR(__xludf.DUMMYFUNCTION("""COMPUTED_VALUE"""),0.5724)</f>
        <v>0.5724</v>
      </c>
      <c r="E110" s="17">
        <f>IFERROR(__xludf.DUMMYFUNCTION("""COMPUTED_VALUE"""),10.0)</f>
        <v>10</v>
      </c>
      <c r="F110" s="17"/>
      <c r="G110" s="17">
        <f>IFERROR(__xludf.DUMMYFUNCTION("""COMPUTED_VALUE"""),17.47)</f>
        <v>17.47</v>
      </c>
      <c r="H110" s="20">
        <f>IFERROR(__xludf.DUMMYFUNCTION("""COMPUTED_VALUE"""),0.15)</f>
        <v>0.15</v>
      </c>
      <c r="I110" s="17"/>
      <c r="J110" s="20">
        <f>IFERROR(__xludf.DUMMYFUNCTION("""COMPUTED_VALUE"""),10.15)</f>
        <v>10.15</v>
      </c>
      <c r="K110" s="17">
        <f t="shared" si="1"/>
        <v>0.5724</v>
      </c>
      <c r="L110" s="20">
        <f t="shared" si="4"/>
        <v>10.15</v>
      </c>
      <c r="M110" s="17">
        <f t="shared" si="2"/>
        <v>17.732355</v>
      </c>
      <c r="N110" s="17" t="str">
        <f t="shared" si="3"/>
        <v/>
      </c>
    </row>
    <row r="111">
      <c r="A111" s="17" t="str">
        <f>IFERROR(__xludf.DUMMYFUNCTION("""COMPUTED_VALUE"""),"Compra")</f>
        <v>Compra</v>
      </c>
      <c r="B111" s="19">
        <f>IFERROR(__xludf.DUMMYFUNCTION("""COMPUTED_VALUE"""),46043.0)</f>
        <v>46043</v>
      </c>
      <c r="C111" s="17" t="str">
        <f>IFERROR(__xludf.DUMMYFUNCTION("""COMPUTED_VALUE"""),"NVDA")</f>
        <v>NVDA</v>
      </c>
      <c r="D111" s="17">
        <f>IFERROR(__xludf.DUMMYFUNCTION("""COMPUTED_VALUE"""),0.0833)</f>
        <v>0.0833</v>
      </c>
      <c r="E111" s="17">
        <f>IFERROR(__xludf.DUMMYFUNCTION("""COMPUTED_VALUE"""),15.0)</f>
        <v>15</v>
      </c>
      <c r="F111" s="17"/>
      <c r="G111" s="17">
        <f>IFERROR(__xludf.DUMMYFUNCTION("""COMPUTED_VALUE"""),180.06)</f>
        <v>180.06</v>
      </c>
      <c r="H111" s="20">
        <f>IFERROR(__xludf.DUMMYFUNCTION("""COMPUTED_VALUE"""),0.15)</f>
        <v>0.15</v>
      </c>
      <c r="I111" s="17"/>
      <c r="J111" s="20">
        <f>IFERROR(__xludf.DUMMYFUNCTION("""COMPUTED_VALUE"""),15.15)</f>
        <v>15.15</v>
      </c>
      <c r="K111" s="17">
        <f t="shared" si="1"/>
        <v>0.0833</v>
      </c>
      <c r="L111" s="20">
        <f t="shared" si="4"/>
        <v>15.15</v>
      </c>
      <c r="M111" s="17">
        <f t="shared" si="2"/>
        <v>181.8727491</v>
      </c>
      <c r="N111" s="17" t="str">
        <f t="shared" si="3"/>
        <v/>
      </c>
    </row>
    <row r="112">
      <c r="A112" s="17" t="str">
        <f>IFERROR(__xludf.DUMMYFUNCTION("""COMPUTED_VALUE"""),"Compra")</f>
        <v>Compra</v>
      </c>
      <c r="B112" s="19">
        <f>IFERROR(__xludf.DUMMYFUNCTION("""COMPUTED_VALUE"""),46062.0)</f>
        <v>46062</v>
      </c>
      <c r="C112" s="17" t="str">
        <f>IFERROR(__xludf.DUMMYFUNCTION("""COMPUTED_VALUE"""),"BTCUSD")</f>
        <v>BTCUSD</v>
      </c>
      <c r="D112" s="17">
        <f>IFERROR(__xludf.DUMMYFUNCTION("""COMPUTED_VALUE"""),4.3405E-4)</f>
        <v>0.00043405</v>
      </c>
      <c r="E112" s="17">
        <f>IFERROR(__xludf.DUMMYFUNCTION("""COMPUTED_VALUE"""),30.0)</f>
        <v>30</v>
      </c>
      <c r="F112" s="17"/>
      <c r="G112" s="17">
        <f>IFERROR(__xludf.DUMMYFUNCTION("""COMPUTED_VALUE"""),69116.46)</f>
        <v>69116.46</v>
      </c>
      <c r="H112" s="20">
        <f>IFERROR(__xludf.DUMMYFUNCTION("""COMPUTED_VALUE"""),0.3)</f>
        <v>0.3</v>
      </c>
      <c r="I112" s="17"/>
      <c r="J112" s="20">
        <f>IFERROR(__xludf.DUMMYFUNCTION("""COMPUTED_VALUE"""),30.3)</f>
        <v>30.3</v>
      </c>
      <c r="K112" s="17">
        <f t="shared" si="1"/>
        <v>0.00043405</v>
      </c>
      <c r="L112" s="20">
        <f t="shared" si="4"/>
        <v>30.3</v>
      </c>
      <c r="M112" s="17">
        <f t="shared" si="2"/>
        <v>69807.62585</v>
      </c>
      <c r="N112" s="17" t="str">
        <f t="shared" si="3"/>
        <v/>
      </c>
    </row>
    <row r="113">
      <c r="A113" s="17" t="str">
        <f>IFERROR(__xludf.DUMMYFUNCTION("""COMPUTED_VALUE"""),"Depósito")</f>
        <v>Depósito</v>
      </c>
      <c r="B113" s="19">
        <f>IFERROR(__xludf.DUMMYFUNCTION("""COMPUTED_VALUE"""),46090.0)</f>
        <v>46090</v>
      </c>
      <c r="C113" s="17" t="str">
        <f>IFERROR(__xludf.DUMMYFUNCTION("""COMPUTED_VALUE"""),"USD")</f>
        <v>USD</v>
      </c>
      <c r="D113" s="17"/>
      <c r="E113" s="17">
        <f>IFERROR(__xludf.DUMMYFUNCTION("""COMPUTED_VALUE"""),75.0)</f>
        <v>75</v>
      </c>
      <c r="F113" s="17">
        <f>IFERROR(__xludf.DUMMYFUNCTION("""COMPUTED_VALUE"""),297419.0)</f>
        <v>297419</v>
      </c>
      <c r="G113" s="17"/>
      <c r="H113" s="20"/>
      <c r="I113" s="17"/>
      <c r="J113" s="20">
        <f>IFERROR(__xludf.DUMMYFUNCTION("""COMPUTED_VALUE"""),75.0)</f>
        <v>75</v>
      </c>
      <c r="K113" s="17" t="str">
        <f t="shared" si="1"/>
        <v/>
      </c>
      <c r="L113" s="17" t="str">
        <f t="shared" si="4"/>
        <v/>
      </c>
      <c r="M113" s="17" t="str">
        <f t="shared" si="2"/>
        <v>#DIV/0!</v>
      </c>
      <c r="N113" s="17" t="str">
        <f t="shared" si="3"/>
        <v/>
      </c>
    </row>
    <row r="114">
      <c r="A114" s="17" t="str">
        <f>IFERROR(__xludf.DUMMYFUNCTION("""COMPUTED_VALUE"""),"Compra")</f>
        <v>Compra</v>
      </c>
      <c r="B114" s="19">
        <f>IFERROR(__xludf.DUMMYFUNCTION("""COMPUTED_VALUE"""),46090.0)</f>
        <v>46090</v>
      </c>
      <c r="C114" s="17" t="str">
        <f>IFERROR(__xludf.DUMMYFUNCTION("""COMPUTED_VALUE"""),"ACWI")</f>
        <v>ACWI</v>
      </c>
      <c r="D114" s="17">
        <f>IFERROR(__xludf.DUMMYFUNCTION("""COMPUTED_VALUE"""),0.14171)</f>
        <v>0.14171</v>
      </c>
      <c r="E114" s="17">
        <f>IFERROR(__xludf.DUMMYFUNCTION("""COMPUTED_VALUE"""),20.0)</f>
        <v>20</v>
      </c>
      <c r="F114" s="17"/>
      <c r="G114" s="17">
        <f>IFERROR(__xludf.DUMMYFUNCTION("""COMPUTED_VALUE"""),141.13)</f>
        <v>141.13</v>
      </c>
      <c r="H114" s="20">
        <f>IFERROR(__xludf.DUMMYFUNCTION("""COMPUTED_VALUE"""),0.15)</f>
        <v>0.15</v>
      </c>
      <c r="I114" s="17"/>
      <c r="J114" s="20">
        <f>IFERROR(__xludf.DUMMYFUNCTION("""COMPUTED_VALUE"""),20.15)</f>
        <v>20.15</v>
      </c>
      <c r="K114" s="17">
        <f t="shared" si="1"/>
        <v>0.14171</v>
      </c>
      <c r="L114" s="20">
        <f t="shared" si="4"/>
        <v>20.15</v>
      </c>
      <c r="M114" s="17">
        <f t="shared" si="2"/>
        <v>142.1918002</v>
      </c>
      <c r="N114" s="17" t="str">
        <f t="shared" si="3"/>
        <v/>
      </c>
    </row>
    <row r="115">
      <c r="A115" s="17" t="str">
        <f>IFERROR(__xludf.DUMMYFUNCTION("""COMPUTED_VALUE"""),"Compra")</f>
        <v>Compra</v>
      </c>
      <c r="B115" s="19">
        <f>IFERROR(__xludf.DUMMYFUNCTION("""COMPUTED_VALUE"""),46090.0)</f>
        <v>46090</v>
      </c>
      <c r="C115" s="17" t="str">
        <f>IFERROR(__xludf.DUMMYFUNCTION("""COMPUTED_VALUE"""),"NVDA")</f>
        <v>NVDA</v>
      </c>
      <c r="D115" s="17">
        <f>IFERROR(__xludf.DUMMYFUNCTION("""COMPUTED_VALUE"""),0.08339)</f>
        <v>0.08339</v>
      </c>
      <c r="E115" s="17">
        <f>IFERROR(__xludf.DUMMYFUNCTION("""COMPUTED_VALUE"""),15.0)</f>
        <v>15</v>
      </c>
      <c r="F115" s="17"/>
      <c r="G115" s="17">
        <f>IFERROR(__xludf.DUMMYFUNCTION("""COMPUTED_VALUE"""),179.87)</f>
        <v>179.87</v>
      </c>
      <c r="H115" s="20">
        <f>IFERROR(__xludf.DUMMYFUNCTION("""COMPUTED_VALUE"""),0.15)</f>
        <v>0.15</v>
      </c>
      <c r="I115" s="17"/>
      <c r="J115" s="20">
        <f>IFERROR(__xludf.DUMMYFUNCTION("""COMPUTED_VALUE"""),15.15)</f>
        <v>15.15</v>
      </c>
      <c r="K115" s="17">
        <f t="shared" si="1"/>
        <v>0.08339</v>
      </c>
      <c r="L115" s="20">
        <f t="shared" si="4"/>
        <v>15.15</v>
      </c>
      <c r="M115" s="17">
        <f t="shared" si="2"/>
        <v>181.67646</v>
      </c>
      <c r="N115" s="17" t="str">
        <f t="shared" si="3"/>
        <v/>
      </c>
    </row>
    <row r="116">
      <c r="A116" s="17" t="str">
        <f>IFERROR(__xludf.DUMMYFUNCTION("""COMPUTED_VALUE"""),"Compra")</f>
        <v>Compra</v>
      </c>
      <c r="B116" s="19">
        <f>IFERROR(__xludf.DUMMYFUNCTION("""COMPUTED_VALUE"""),46097.0)</f>
        <v>46097</v>
      </c>
      <c r="C116" s="17" t="str">
        <f>IFERROR(__xludf.DUMMYFUNCTION("""COMPUTED_VALUE"""),"BTCUSD")</f>
        <v>BTCUSD</v>
      </c>
      <c r="D116" s="17">
        <f>IFERROR(__xludf.DUMMYFUNCTION("""COMPUTED_VALUE"""),3.4097E-4)</f>
        <v>0.00034097</v>
      </c>
      <c r="E116" s="17">
        <f>IFERROR(__xludf.DUMMYFUNCTION("""COMPUTED_VALUE"""),25.0)</f>
        <v>25</v>
      </c>
      <c r="F116" s="17"/>
      <c r="G116" s="17">
        <f>IFERROR(__xludf.DUMMYFUNCTION("""COMPUTED_VALUE"""),73320.0)</f>
        <v>73320</v>
      </c>
      <c r="H116" s="20">
        <f>IFERROR(__xludf.DUMMYFUNCTION("""COMPUTED_VALUE"""),0.25)</f>
        <v>0.25</v>
      </c>
      <c r="I116" s="17"/>
      <c r="J116" s="20">
        <f>IFERROR(__xludf.DUMMYFUNCTION("""COMPUTED_VALUE"""),25.25)</f>
        <v>25.25</v>
      </c>
      <c r="K116" s="17">
        <f t="shared" si="1"/>
        <v>0.00034097</v>
      </c>
      <c r="L116" s="20">
        <f t="shared" si="4"/>
        <v>25.25</v>
      </c>
      <c r="M116" s="17">
        <f t="shared" si="2"/>
        <v>74053.43579</v>
      </c>
      <c r="N116" s="17" t="str">
        <f t="shared" si="3"/>
        <v/>
      </c>
    </row>
    <row r="117">
      <c r="A117" s="17" t="str">
        <f>IFERROR(__xludf.DUMMYFUNCTION("""COMPUTED_VALUE"""),"Compra")</f>
        <v>Compra</v>
      </c>
      <c r="B117" s="19">
        <f>IFERROR(__xludf.DUMMYFUNCTION("""COMPUTED_VALUE"""),46097.0)</f>
        <v>46097</v>
      </c>
      <c r="C117" s="17" t="str">
        <f>IFERROR(__xludf.DUMMYFUNCTION("""COMPUTED_VALUE"""),"ETHUSD")</f>
        <v>ETHUSD</v>
      </c>
      <c r="D117" s="17">
        <f>IFERROR(__xludf.DUMMYFUNCTION("""COMPUTED_VALUE"""),0.00440605)</f>
        <v>0.00440605</v>
      </c>
      <c r="E117" s="17">
        <f>IFERROR(__xludf.DUMMYFUNCTION("""COMPUTED_VALUE"""),10.0)</f>
        <v>10</v>
      </c>
      <c r="F117" s="17"/>
      <c r="G117" s="17">
        <f>IFERROR(__xludf.DUMMYFUNCTION("""COMPUTED_VALUE"""),2269.0)</f>
        <v>2269</v>
      </c>
      <c r="H117" s="20">
        <f>IFERROR(__xludf.DUMMYFUNCTION("""COMPUTED_VALUE"""),0.1)</f>
        <v>0.1</v>
      </c>
      <c r="I117" s="17"/>
      <c r="J117" s="20">
        <f>IFERROR(__xludf.DUMMYFUNCTION("""COMPUTED_VALUE"""),10.1)</f>
        <v>10.1</v>
      </c>
      <c r="K117" s="17">
        <f t="shared" si="1"/>
        <v>0.00440605</v>
      </c>
      <c r="L117" s="20">
        <f t="shared" si="4"/>
        <v>10.1</v>
      </c>
      <c r="M117" s="17">
        <f t="shared" si="2"/>
        <v>2292.302629</v>
      </c>
      <c r="N117" s="17" t="str">
        <f t="shared" si="3"/>
        <v/>
      </c>
    </row>
    <row r="118">
      <c r="A118" s="17" t="str">
        <f>IFERROR(__xludf.DUMMYFUNCTION("""COMPUTED_VALUE"""),"Compra")</f>
        <v>Compra</v>
      </c>
      <c r="B118" s="19">
        <f>IFERROR(__xludf.DUMMYFUNCTION("""COMPUTED_VALUE"""),46097.0)</f>
        <v>46097</v>
      </c>
      <c r="C118" s="17" t="str">
        <f>IFERROR(__xludf.DUMMYFUNCTION("""COMPUTED_VALUE"""),"ACWI")</f>
        <v>ACWI</v>
      </c>
      <c r="D118" s="17">
        <f>IFERROR(__xludf.DUMMYFUNCTION("""COMPUTED_VALUE"""),0.07881)</f>
        <v>0.07881</v>
      </c>
      <c r="E118" s="17">
        <f>IFERROR(__xludf.DUMMYFUNCTION("""COMPUTED_VALUE"""),11.14)</f>
        <v>11.14</v>
      </c>
      <c r="F118" s="17"/>
      <c r="G118" s="17">
        <f>IFERROR(__xludf.DUMMYFUNCTION("""COMPUTED_VALUE"""),141.43)</f>
        <v>141.43</v>
      </c>
      <c r="H118" s="20">
        <f>IFERROR(__xludf.DUMMYFUNCTION("""COMPUTED_VALUE"""),0.15)</f>
        <v>0.15</v>
      </c>
      <c r="I118" s="17"/>
      <c r="J118" s="20">
        <f>IFERROR(__xludf.DUMMYFUNCTION("""COMPUTED_VALUE"""),11.29)</f>
        <v>11.29</v>
      </c>
      <c r="K118" s="17">
        <f t="shared" si="1"/>
        <v>0.07881</v>
      </c>
      <c r="L118" s="20">
        <f t="shared" si="4"/>
        <v>11.29</v>
      </c>
      <c r="M118" s="17">
        <f t="shared" si="2"/>
        <v>143.255932</v>
      </c>
      <c r="N118" s="17" t="str">
        <f t="shared" si="3"/>
        <v/>
      </c>
    </row>
    <row r="119">
      <c r="K119" s="17" t="str">
        <f t="shared" ref="K119:K172" si="5">IF(A119="","",LET(
 activo,C119,
 cantAnt,IFERROR(LOOKUP(2,1/(($C$1:C118=activo)*($K$1:K118&lt;&gt;"")),$K$1:K118),0),
 IF(A119="Compra",
  cantAnt + D119,
  IF(A119="Venta",
   cantAnt - D119,
   IF(A119="Dividendo",
    cantAnt,
    ""
   )
  )
 )
))</f>
        <v/>
      </c>
    </row>
    <row r="120">
      <c r="K120" s="17" t="str">
        <f t="shared" si="5"/>
        <v/>
      </c>
    </row>
    <row r="121">
      <c r="K121" s="17" t="str">
        <f t="shared" si="5"/>
        <v/>
      </c>
    </row>
    <row r="122">
      <c r="K122" s="17" t="str">
        <f t="shared" si="5"/>
        <v/>
      </c>
    </row>
    <row r="123">
      <c r="K123" s="17" t="str">
        <f t="shared" si="5"/>
        <v/>
      </c>
    </row>
    <row r="124">
      <c r="K124" s="17" t="str">
        <f t="shared" si="5"/>
        <v/>
      </c>
    </row>
    <row r="125">
      <c r="K125" s="17" t="str">
        <f t="shared" si="5"/>
        <v/>
      </c>
    </row>
    <row r="126">
      <c r="K126" s="17" t="str">
        <f t="shared" si="5"/>
        <v/>
      </c>
    </row>
    <row r="127">
      <c r="K127" s="17" t="str">
        <f t="shared" si="5"/>
        <v/>
      </c>
    </row>
    <row r="128">
      <c r="K128" s="17" t="str">
        <f t="shared" si="5"/>
        <v/>
      </c>
    </row>
    <row r="129">
      <c r="K129" s="17" t="str">
        <f t="shared" si="5"/>
        <v/>
      </c>
    </row>
    <row r="130">
      <c r="K130" s="17" t="str">
        <f t="shared" si="5"/>
        <v/>
      </c>
    </row>
    <row r="131">
      <c r="K131" s="17" t="str">
        <f t="shared" si="5"/>
        <v/>
      </c>
    </row>
    <row r="132">
      <c r="K132" s="17" t="str">
        <f t="shared" si="5"/>
        <v/>
      </c>
    </row>
    <row r="133">
      <c r="K133" s="17" t="str">
        <f t="shared" si="5"/>
        <v/>
      </c>
    </row>
    <row r="134">
      <c r="K134" s="17" t="str">
        <f t="shared" si="5"/>
        <v/>
      </c>
    </row>
    <row r="135">
      <c r="K135" s="17" t="str">
        <f t="shared" si="5"/>
        <v/>
      </c>
    </row>
    <row r="136">
      <c r="K136" s="17" t="str">
        <f t="shared" si="5"/>
        <v/>
      </c>
    </row>
    <row r="137">
      <c r="K137" s="17" t="str">
        <f t="shared" si="5"/>
        <v/>
      </c>
    </row>
    <row r="138">
      <c r="K138" s="17" t="str">
        <f t="shared" si="5"/>
        <v/>
      </c>
    </row>
    <row r="139">
      <c r="K139" s="17" t="str">
        <f t="shared" si="5"/>
        <v/>
      </c>
    </row>
    <row r="140">
      <c r="K140" s="17" t="str">
        <f t="shared" si="5"/>
        <v/>
      </c>
    </row>
    <row r="141">
      <c r="K141" s="17" t="str">
        <f t="shared" si="5"/>
        <v/>
      </c>
    </row>
    <row r="142">
      <c r="K142" s="17" t="str">
        <f t="shared" si="5"/>
        <v/>
      </c>
    </row>
    <row r="143">
      <c r="K143" s="17" t="str">
        <f t="shared" si="5"/>
        <v/>
      </c>
    </row>
    <row r="144">
      <c r="K144" s="17" t="str">
        <f t="shared" si="5"/>
        <v/>
      </c>
    </row>
    <row r="145">
      <c r="K145" s="17" t="str">
        <f t="shared" si="5"/>
        <v/>
      </c>
    </row>
    <row r="146">
      <c r="K146" s="17" t="str">
        <f t="shared" si="5"/>
        <v/>
      </c>
    </row>
    <row r="147">
      <c r="K147" s="17" t="str">
        <f t="shared" si="5"/>
        <v/>
      </c>
    </row>
    <row r="148">
      <c r="K148" s="17" t="str">
        <f t="shared" si="5"/>
        <v/>
      </c>
    </row>
    <row r="149">
      <c r="K149" s="17" t="str">
        <f t="shared" si="5"/>
        <v/>
      </c>
    </row>
    <row r="150">
      <c r="K150" s="17" t="str">
        <f t="shared" si="5"/>
        <v/>
      </c>
    </row>
    <row r="151">
      <c r="K151" s="17" t="str">
        <f t="shared" si="5"/>
        <v/>
      </c>
    </row>
    <row r="152">
      <c r="K152" s="17" t="str">
        <f t="shared" si="5"/>
        <v/>
      </c>
    </row>
    <row r="153">
      <c r="K153" s="17" t="str">
        <f t="shared" si="5"/>
        <v/>
      </c>
    </row>
    <row r="154">
      <c r="K154" s="17" t="str">
        <f t="shared" si="5"/>
        <v/>
      </c>
    </row>
    <row r="155">
      <c r="K155" s="17" t="str">
        <f t="shared" si="5"/>
        <v/>
      </c>
    </row>
    <row r="156">
      <c r="K156" s="17" t="str">
        <f t="shared" si="5"/>
        <v/>
      </c>
    </row>
    <row r="157">
      <c r="K157" s="17" t="str">
        <f t="shared" si="5"/>
        <v/>
      </c>
    </row>
    <row r="158">
      <c r="K158" s="17" t="str">
        <f t="shared" si="5"/>
        <v/>
      </c>
    </row>
    <row r="159">
      <c r="K159" s="17" t="str">
        <f t="shared" si="5"/>
        <v/>
      </c>
    </row>
    <row r="160">
      <c r="K160" s="17" t="str">
        <f t="shared" si="5"/>
        <v/>
      </c>
    </row>
    <row r="161">
      <c r="K161" s="17" t="str">
        <f t="shared" si="5"/>
        <v/>
      </c>
    </row>
    <row r="162">
      <c r="K162" s="17" t="str">
        <f t="shared" si="5"/>
        <v/>
      </c>
    </row>
    <row r="163">
      <c r="K163" s="17" t="str">
        <f t="shared" si="5"/>
        <v/>
      </c>
    </row>
    <row r="164">
      <c r="K164" s="17" t="str">
        <f t="shared" si="5"/>
        <v/>
      </c>
    </row>
    <row r="165">
      <c r="K165" s="17" t="str">
        <f t="shared" si="5"/>
        <v/>
      </c>
    </row>
    <row r="166">
      <c r="K166" s="17" t="str">
        <f t="shared" si="5"/>
        <v/>
      </c>
    </row>
    <row r="167">
      <c r="K167" s="17" t="str">
        <f t="shared" si="5"/>
        <v/>
      </c>
    </row>
    <row r="168">
      <c r="K168" s="17" t="str">
        <f t="shared" si="5"/>
        <v/>
      </c>
    </row>
    <row r="169">
      <c r="K169" s="17" t="str">
        <f t="shared" si="5"/>
        <v/>
      </c>
    </row>
    <row r="170">
      <c r="K170" s="17" t="str">
        <f t="shared" si="5"/>
        <v/>
      </c>
    </row>
    <row r="171">
      <c r="K171" s="17" t="str">
        <f t="shared" si="5"/>
        <v/>
      </c>
    </row>
    <row r="172">
      <c r="K172" s="17" t="str">
        <f t="shared" si="5"/>
        <v/>
      </c>
    </row>
  </sheetData>
  <drawing r:id="rId1"/>
</worksheet>
</file>